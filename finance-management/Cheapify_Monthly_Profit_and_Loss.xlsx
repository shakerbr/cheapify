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8/calcfeatures" ns1:Ignorable="x15 xr xr6 xr10 xr2">
  <ns0:fileVersion appName="xl" lastEdited="7" lowestEdited="7" rupBuild="21328"/>
  <ns0:workbookPr/>
  <ns1:AlternateContent>
    <ns1:Choice Requires="x15">
      <ns2:absPath url="C:\Users\Java\Desktop\AUK Training\Capa\Final\"/>
    </ns1:Choice>
  </ns1:AlternateContent>
  <ns3:revisionPtr revIDLastSave="0" documentId="8_{86677738-67F5-4541-8E0A-4F33BD2D9E24}" ns4:coauthVersionLast="41" ns4:coauthVersionMax="41" ns5:uidLastSave="{00000000-0000-0000-0000-000000000000}"/>
  <ns0:bookViews>
    <ns0:workbookView xWindow="-108" yWindow="-108" windowWidth="23256" windowHeight="12456" ns6:uid="{00000000-000D-0000-FFFF-FFFF00000000}"/>
  </ns0:bookViews>
  <ns0:sheets>
    <ns0:sheet name="Summary" sheetId="1" ns7:id="rId1"/>
    <ns0:sheet name="Breakdown" sheetId="2" ns7:id="rId2"/>
  </ns0:sheets>
  <ns0:calcPr calcId="191029" iterateDelta="1E-4" fullCalcOnLoad="1" iterateCount="100"/>
  <ns0:extLst>
    <ns0:ext uri="{B58B0392-4F1F-4190-BB64-5DF3571DCE5F}">
      <ns8:calcFeatures>
        <ns8:feature name="microsoft.com:RD"/>
        <ns8:feature name="microsoft.com:FV"/>
      </ns8:calcFeatures>
    </ns0:ext>
  </ns0:extLst>
</ns0:workbook>
</file>

<file path=xl/calcChain.xml><?xml version="1.0" encoding="utf-8"?>
<calcChain xmlns="http://schemas.openxmlformats.org/spreadsheetml/2006/main">
  <c r="L46" i="2" l="1"/>
  <c r="L24" i="1" s="1"/>
  <c r="H46" i="2"/>
  <c r="H24" i="1" s="1"/>
  <c r="F46" i="2"/>
  <c r="F24" i="1" s="1"/>
  <c r="D46" i="2"/>
  <c r="N43" i="2"/>
  <c r="N41" i="2"/>
  <c r="N40" i="2"/>
  <c r="J37" i="2"/>
  <c r="J42" i="2" s="1"/>
  <c r="B37" i="2"/>
  <c r="B42" i="2" s="1"/>
  <c r="M35" i="2"/>
  <c r="L35" i="2"/>
  <c r="K35" i="2"/>
  <c r="K14" i="1" s="1"/>
  <c r="J35" i="2"/>
  <c r="I35" i="2"/>
  <c r="H35" i="2"/>
  <c r="G35" i="2"/>
  <c r="F35" i="2"/>
  <c r="E35" i="2"/>
  <c r="D35" i="2"/>
  <c r="C35" i="2"/>
  <c r="C14" i="1" s="1"/>
  <c r="B35" i="2"/>
  <c r="N34" i="2"/>
  <c r="N33" i="2"/>
  <c r="N32" i="2"/>
  <c r="N31" i="2"/>
  <c r="N30" i="2"/>
  <c r="N29" i="2"/>
  <c r="N28" i="2"/>
  <c r="N27" i="2"/>
  <c r="N26" i="2"/>
  <c r="N25" i="2"/>
  <c r="L22" i="2"/>
  <c r="K22" i="2"/>
  <c r="J22" i="2"/>
  <c r="F22" i="2"/>
  <c r="F12" i="1" s="1"/>
  <c r="D22" i="2"/>
  <c r="C22" i="2"/>
  <c r="B22" i="2"/>
  <c r="K21" i="2"/>
  <c r="K37" i="2" s="1"/>
  <c r="J21" i="2"/>
  <c r="I21" i="2"/>
  <c r="I37" i="2" s="1"/>
  <c r="G21" i="2"/>
  <c r="G37" i="2" s="1"/>
  <c r="C21" i="2"/>
  <c r="C37" i="2" s="1"/>
  <c r="B21" i="2"/>
  <c r="M19" i="2"/>
  <c r="L19" i="2"/>
  <c r="K19" i="2"/>
  <c r="J19" i="2"/>
  <c r="I19" i="2"/>
  <c r="H19" i="2"/>
  <c r="H21" i="2" s="1"/>
  <c r="G19" i="2"/>
  <c r="F19" i="2"/>
  <c r="E19" i="2"/>
  <c r="D19" i="2"/>
  <c r="N19" i="2" s="1"/>
  <c r="N9" i="1" s="1"/>
  <c r="C19" i="2"/>
  <c r="B19" i="2"/>
  <c r="N18" i="2"/>
  <c r="N17" i="2"/>
  <c r="N16" i="2"/>
  <c r="N15" i="2"/>
  <c r="M12" i="2"/>
  <c r="M46" i="2" s="1"/>
  <c r="M24" i="1" s="1"/>
  <c r="L12" i="2"/>
  <c r="L21" i="2" s="1"/>
  <c r="K12" i="2"/>
  <c r="K46" i="2" s="1"/>
  <c r="K24" i="1" s="1"/>
  <c r="J12" i="2"/>
  <c r="J46" i="2" s="1"/>
  <c r="J24" i="1" s="1"/>
  <c r="I12" i="2"/>
  <c r="I22" i="2" s="1"/>
  <c r="I12" i="1" s="1"/>
  <c r="H12" i="2"/>
  <c r="H22" i="2" s="1"/>
  <c r="H12" i="1" s="1"/>
  <c r="G12" i="2"/>
  <c r="G8" i="1" s="1"/>
  <c r="F12" i="2"/>
  <c r="F21" i="2" s="1"/>
  <c r="E12" i="2"/>
  <c r="E46" i="2" s="1"/>
  <c r="E24" i="1" s="1"/>
  <c r="D12" i="2"/>
  <c r="D21" i="2" s="1"/>
  <c r="C12" i="2"/>
  <c r="C46" i="2" s="1"/>
  <c r="C24" i="1" s="1"/>
  <c r="B12" i="2"/>
  <c r="B46" i="2" s="1"/>
  <c r="B24" i="1" s="1"/>
  <c r="N11" i="2"/>
  <c r="N10" i="2"/>
  <c r="N9" i="2"/>
  <c r="N8" i="2"/>
  <c r="M6" i="2"/>
  <c r="L6" i="2"/>
  <c r="K6" i="2"/>
  <c r="J6" i="2"/>
  <c r="I6" i="2"/>
  <c r="H6" i="2"/>
  <c r="G6" i="2"/>
  <c r="F6" i="2"/>
  <c r="E6" i="2"/>
  <c r="D6" i="2"/>
  <c r="C6" i="2"/>
  <c r="B6" i="2"/>
  <c r="D24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J16" i="1"/>
  <c r="B16" i="1"/>
  <c r="M14" i="1"/>
  <c r="L14" i="1"/>
  <c r="J14" i="1"/>
  <c r="I14" i="1"/>
  <c r="H14" i="1"/>
  <c r="G14" i="1"/>
  <c r="F14" i="1"/>
  <c r="E14" i="1"/>
  <c r="D14" i="1"/>
  <c r="B14" i="1"/>
  <c r="L12" i="1"/>
  <c r="K12" i="1"/>
  <c r="J12" i="1"/>
  <c r="D12" i="1"/>
  <c r="C12" i="1"/>
  <c r="B12" i="1"/>
  <c r="K11" i="1"/>
  <c r="J11" i="1"/>
  <c r="I11" i="1"/>
  <c r="G11" i="1"/>
  <c r="C11" i="1"/>
  <c r="B11" i="1"/>
  <c r="M9" i="1"/>
  <c r="L9" i="1"/>
  <c r="K9" i="1"/>
  <c r="J9" i="1"/>
  <c r="I9" i="1"/>
  <c r="H9" i="1"/>
  <c r="G9" i="1"/>
  <c r="F9" i="1"/>
  <c r="E9" i="1"/>
  <c r="D9" i="1"/>
  <c r="C9" i="1"/>
  <c r="B9" i="1"/>
  <c r="L8" i="1"/>
  <c r="K8" i="1"/>
  <c r="J8" i="1"/>
  <c r="I8" i="1"/>
  <c r="H8" i="1"/>
  <c r="D8" i="1"/>
  <c r="C8" i="1"/>
  <c r="B8" i="1"/>
  <c r="M6" i="1"/>
  <c r="L6" i="1"/>
  <c r="K6" i="1"/>
  <c r="J6" i="1"/>
  <c r="I6" i="1"/>
  <c r="H6" i="1"/>
  <c r="G6" i="1"/>
  <c r="F6" i="1"/>
  <c r="E6" i="1"/>
  <c r="D6" i="1"/>
  <c r="C6" i="1"/>
  <c r="B6" i="1"/>
  <c r="H4" i="1"/>
  <c r="E4" i="1"/>
  <c r="B4" i="1"/>
  <c r="B3" i="1"/>
  <c r="K42" i="2" l="1"/>
  <c r="K16" i="1"/>
  <c r="D37" i="2"/>
  <c r="D11" i="1"/>
  <c r="L37" i="2"/>
  <c r="L11" i="1"/>
  <c r="F37" i="2"/>
  <c r="F11" i="1"/>
  <c r="C42" i="2"/>
  <c r="C16" i="1"/>
  <c r="J45" i="2"/>
  <c r="J23" i="1" s="1"/>
  <c r="J20" i="1"/>
  <c r="H11" i="1"/>
  <c r="H37" i="2"/>
  <c r="G42" i="2"/>
  <c r="G16" i="1"/>
  <c r="I16" i="1"/>
  <c r="I42" i="2"/>
  <c r="B45" i="2"/>
  <c r="B20" i="1"/>
  <c r="E22" i="2"/>
  <c r="E12" i="1" s="1"/>
  <c r="M22" i="2"/>
  <c r="M12" i="1" s="1"/>
  <c r="N35" i="2"/>
  <c r="N14" i="1" s="1"/>
  <c r="G46" i="2"/>
  <c r="G24" i="1" s="1"/>
  <c r="F8" i="1"/>
  <c r="G22" i="2"/>
  <c r="G12" i="1" s="1"/>
  <c r="I46" i="2"/>
  <c r="I24" i="1" s="1"/>
  <c r="E8" i="1"/>
  <c r="E21" i="2"/>
  <c r="M21" i="2"/>
  <c r="M8" i="1"/>
  <c r="N12" i="2"/>
  <c r="F42" i="2" l="1"/>
  <c r="F16" i="1"/>
  <c r="E37" i="2"/>
  <c r="E11" i="1"/>
  <c r="H42" i="2"/>
  <c r="H16" i="1"/>
  <c r="N21" i="2"/>
  <c r="N11" i="1" s="1"/>
  <c r="B23" i="1"/>
  <c r="L16" i="1"/>
  <c r="L42" i="2"/>
  <c r="I45" i="2"/>
  <c r="I23" i="1" s="1"/>
  <c r="I20" i="1"/>
  <c r="N22" i="2"/>
  <c r="N12" i="1" s="1"/>
  <c r="N8" i="1"/>
  <c r="N46" i="2"/>
  <c r="N24" i="1" s="1"/>
  <c r="C20" i="1"/>
  <c r="C45" i="2"/>
  <c r="C23" i="1" s="1"/>
  <c r="D16" i="1"/>
  <c r="D42" i="2"/>
  <c r="M37" i="2"/>
  <c r="M11" i="1"/>
  <c r="G45" i="2"/>
  <c r="G23" i="1" s="1"/>
  <c r="G20" i="1"/>
  <c r="K45" i="2"/>
  <c r="K23" i="1" s="1"/>
  <c r="K20" i="1"/>
  <c r="F45" i="2" l="1"/>
  <c r="F23" i="1" s="1"/>
  <c r="F20" i="1"/>
  <c r="M42" i="2"/>
  <c r="M16" i="1"/>
  <c r="N37" i="2"/>
  <c r="N16" i="1" s="1"/>
  <c r="H45" i="2"/>
  <c r="H23" i="1" s="1"/>
  <c r="H20" i="1"/>
  <c r="D45" i="2"/>
  <c r="D20" i="1"/>
  <c r="L45" i="2"/>
  <c r="L23" i="1" s="1"/>
  <c r="L20" i="1"/>
  <c r="E42" i="2"/>
  <c r="N42" i="2" s="1"/>
  <c r="N20" i="1" s="1"/>
  <c r="E16" i="1"/>
  <c r="D23" i="1" l="1"/>
  <c r="E20" i="1"/>
  <c r="E45" i="2"/>
  <c r="E23" i="1" s="1"/>
  <c r="M20" i="1"/>
  <c r="M45" i="2"/>
  <c r="M23" i="1" s="1"/>
  <c r="N45" i="2" l="1"/>
  <c r="N23" i="1" s="1"/>
</calcChain>
</file>

<file path=xl/sharedStrings.xml><?xml version="1.0" encoding="utf-8"?>
<ns0:sst xmlns:ns0="http://schemas.openxmlformats.org/spreadsheetml/2006/main" count="71" uniqueCount="53">
  <ns0:si>
    <ns0:t>Monthly profit and loss summary</ns0:t>
  </ns0:si>
  <ns0:si>
    <ns0:t>Business / project</ns0:t>
  </ns0:si>
  <ns0:si>
    <ns0:t>Year</ns0:t>
  </ns0:si>
  <ns0:si>
    <ns0:t>Currency</ns0:t>
  </ns0:si>
  <ns0:si>
    <ns0:t>Report type</ns0:t>
  </ns0:si>
  <ns0:si>
    <ns0:t>Linked to the Breakdown sheet.</ns0:t>
  </ns0:si>
  <ns0:si>
    <ns0:t>Blank inputs are treated as zero. Complete every month before using the results.</ns0:t>
  </ns0:si>
  <ns0:si>
    <ns0:t>Category</ns0:t>
  </ns0:si>
  <ns0:si>
    <ns0:t>Annual total</ns0:t>
  </ns0:si>
  <ns0:si>
    <ns0:t>Total revenue</ns0:t>
  </ns0:si>
  <ns0:si>
    <ns0:t>Total COGS</ns0:t>
  </ns0:si>
  <ns0:si>
    <ns0:t>Gross profit</ns0:t>
  </ns0:si>
  <ns0:si>
    <ns0:t>Gross profit margin</ns0:t>
  </ns0:si>
  <ns0:si>
    <ns0:t>Total indirect costs</ns0:t>
  </ns0:si>
  <ns0:si>
    <ns0:t>Operating profit / (loss)</ns0:t>
  </ns0:si>
  <ns0:si>
    <ns0:t>GIZ Seed Grant Disbursement (Pilot Support)</ns0:t>
  </ns0:si>
  <ns0:si>
    <ns0:t>Interest expense</ns0:t>
  </ns0:si>
  <ns0:si>
    <ns0:t>Profit / (loss) before tax</ns0:t>
  </ns0:si>
  <ns0:si>
    <ns0:t>Income tax expense</ns0:t>
  </ns0:si>
  <ns0:si>
    <ns0:t>Net profit / (loss)</ns0:t>
  </ns0:si>
  <ns0:si>
    <ns0:t>Net profit margin</ns0:t>
  </ns0:si>
  <ns0:si>
    <ns0:t>Monthly profit and loss breakdown</ns0:t>
  </ns0:si>
  <ns0:si>
    <ns0:t>Cheapify</ns0:t>
  </ns0:si>
  <ns0:si>
    <ns0:t>IQD</ns0:t>
  </ns0:si>
  <ns0:si>
    <ns0:t>Budget</ns0:t>
  </ns0:si>
  <ns0:si>
    <ns0:t>Enter amounts in yellow cells.</ns0:t>
  </ns0:si>
  <ns0:si>
    <ns0:t>Rename the product and cost labels as needed. Enter costs and discounts as positive amounts.</ns0:t>
  </ns0:si>
  <ns0:si>
    <ns0:t>REVENUE</ns0:t>
  </ns0:si>
  <ns0:si>
    <ns0:t>Transaction Fees (Platform Take-Rate: 1,500 IQD avg)</ns0:t>
  </ns0:si>
  <ns0:si>
    <ns0:t>Category &amp; Shop Sponsorships (150,000 IQD / mo)</ns0:t>
  </ns0:si>
  <ns0:si>
    <ns0:t>Value-Add Services (Analytics)</ns0:t>
  </ns0:si>
  <ns0:si>
    <ns0:t>Less: discounts and returns</ns0:t>
  </ns0:si>
  <ns0:si>
    <ns0:t>COST OF GOODS SOLD (COGS)</ns0:t>
  </ns0:si>
  <ns0:si>
    <ns0:t>Materials / merchandise sold</ns0:t>
  </ns0:si>
  <ns0:si>
    <ns0:t>Direct labor for goods sold</ns0:t>
  </ns0:si>
  <ns0:si>
    <ns0:t>Branded Packaging Supplies (Tape &amp; Waybills)</ns0:t>
  </ns0:si>
  <ns0:si>
    <ns0:t>Payment Gateway Fees &amp; Courier Subsidies</ns0:t>
  </ns0:si>
  <ns0:si>
    <ns0:t>INDIRECT COSTS</ns0:t>
  </ns0:si>
  <ns0:si>
    <ns0:t>Rent</ns0:t>
  </ns0:si>
  <ns0:si>
    <ns0:t>Administrative salaries</ns0:t>
  </ns0:si>
  <ns0:si>
    <ns0:t>Utilities (Founder In-House: 0 IQD)</ns0:t>
  </ns0:si>
  <ns0:si>
    <ns0:t>Targeted Meta Ads (Duhok)</ns0:t>
  </ns0:si>
  <ns0:si>
    <ns0:t>Field Transport (Founder In-House: 0 IQD)</ns0:t>
  </ns0:si>
  <ns0:si>
    <ns0:t>Repairs and maintenance</ns0:t>
  </ns0:si>
  <ns0:si>
    <ns0:t>Cloudflare Pro, Redis &amp; R2 Storage</ns0:t>
  </ns0:si>
  <ns0:si>
    <ns0:t>DCCI Commercial Trade Registration &amp; Legal</ns0:t>
  </ns0:si>
  <ns0:si>
    <ns0:t>Depreciation (indirect assets)</ns0:t>
  </ns0:si>
  <ns0:si>
    <ns0:t>API Compute Servers &amp; WhatsApp Cloud API</ns0:t>
  </ns0:si>
  <ns0:si>
    <ns0:t>OTHER INCOME AND EXPENSES</ns0:t>
  </ns0:si>
  <ns0:si>
    <ns0:t>COGS: enter the cost of items sold in the month. Inventory purchases may differ from COGS.</ns0:t>
  </ns0:si>
  <ns0:si>
    <ns0:t>Record each cost once, either in COGS or indirect costs. Classify it according to its business use.</ns0:t>
  </ns0:si>
  <ns0:si>
    <ns0:t>Asset purchases and loan principal are excluded. Enter relevant depreciation and interest instead.</ns0:t>
  </ns0:si>
  <ns0:si>
    <ns0:t>Revenue means sales earned during the month, including credit sales. It is not cash collected.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</ns0:si>
</ns0:sst>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\ \ @"/>
    <numFmt numFmtId="166" formatCode="0.0%;\(0.0%\);&quot;-&quot;"/>
  </numFmts>
  <fonts count="8">
    <font>
      <sz val="11"/>
      <name val="Carlito"/>
    </font>
    <font>
      <sz val="10"/>
      <color rgb="FF172B4D"/>
      <name val="Arial"/>
    </font>
    <font>
      <b/>
      <sz val="16"/>
      <color rgb="FF17365D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10"/>
      <color rgb="FF52627A"/>
      <name val="Arial"/>
    </font>
    <font>
      <b/>
      <sz val="10"/>
      <color rgb="FF172B4D"/>
      <name val="Arial"/>
    </font>
    <font>
      <i/>
      <sz val="10"/>
      <color rgb="FF172B4D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0F4F8"/>
      </patternFill>
    </fill>
    <fill>
      <patternFill patternType="solid">
        <fgColor rgb="FFFFF2CC"/>
      </patternFill>
    </fill>
    <fill>
      <patternFill patternType="solid">
        <fgColor rgb="FFDCEAF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 style="thin">
        <color rgb="FF9FB3C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17" fontId="3" fillId="2" borderId="0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0" fontId="6" fillId="5" borderId="2" xfId="0" applyNumberFormat="1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vertical="center"/>
    </xf>
    <xf numFmtId="166" fontId="7" fillId="0" borderId="0" xfId="0" applyNumberFormat="1" applyFont="1" applyFill="1" applyBorder="1" applyAlignment="1">
      <alignment horizontal="right" vertical="center"/>
    </xf>
    <xf numFmtId="166" fontId="7" fillId="3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ns0:sheetPr>
    <ns0:tabColor rgb="FF17365D"/>
  </ns0:sheetPr>
  <ns0:dimension ref="A1:N25"/>
  <ns0:sheetViews>
    <ns0:sheetView showGridLines="0" tabSelected="1" workbookViewId="0">
      <ns0:pane xSplit="1" ySplit="6" topLeftCell="B7" activePane="bottomRight" state="frozen"/>
      <ns0:selection pane="topRight"/>
      <ns0:selection pane="bottomLeft"/>
      <ns0:selection pane="bottomRight" activeCell="B7" sqref="B7"/>
    </ns0:sheetView>
  </ns0:sheetViews>
  <ns0:sheetFormatPr defaultRowHeight="13.8"/>
  <ns0:cols>
    <ns0:col min="1" max="1" width="36" customWidth="1"/>
    <ns0:col min="2" max="13" width="14" customWidth="1"/>
    <ns0:col min="14" max="14" width="16" customWidth="1"/>
  </ns0:cols>
  <ns0:sheetData>
    <ns0:row r="1" spans="1:14" ht="22.0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</ns0:row>
    <ns0:row r="2" spans="1:14" ht="30" customHeight="1">
      <ns0:c r="A2" s="3" t="s">
        <ns0:v>0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  <ns0:c r="K2" s="4"/>
      <ns0:c r="L2" s="4"/>
      <ns0:c r="M2" s="4"/>
      <ns0:c r="N2" s="4"/>
    </ns0:row>
    <ns0:row r="3" spans="1:14" ht="22.05" customHeight="1">
      <ns0:c r="A3" s="1" t="s">
        <ns0:v>1</ns0:v>
      </ns0:c>
      <ns0:c r="B3" s="1" t="s">
        <ns0:f>Breakdown!B3</ns0:f>
        <ns0:v>22</ns0:v>
      </ns0:c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  <ns0:c r="M3" s="1"/>
      <ns0:c r="N3" s="1"/>
    </ns0:row>
    <ns0:row r="4" spans="1:14" ht="22.05" customHeight="1">
      <ns0:c r="A4" s="1" t="s">
        <ns0:v>2</ns0:v>
      </ns0:c>
      <ns0:c r="B4" s="1">
        <ns0:f>Breakdown!B4</ns0:f>
        <ns0:v>2026</ns0:v>
      </ns0:c>
      <ns0:c r="C4" s="1"/>
      <ns0:c r="D4" s="1" t="s">
        <ns0:v>3</ns0:v>
      </ns0:c>
      <ns0:c r="E4" s="1" t="str">
        <ns0:f>Breakdown!E4</ns0:f>
        <ns0:v>IQD</ns0:v>
      </ns0:c>
      <ns0:c r="F4" s="1"/>
      <ns0:c r="G4" s="1" t="s">
        <ns0:v>4</ns0:v>
      </ns0:c>
      <ns0:c r="H4" s="1" t="str">
        <ns0:f>Breakdown!H4</ns0:f>
        <ns0:v>Budget</ns0:v>
      </ns0:c>
      <ns0:c r="I4" s="1"/>
      <ns0:c r="J4" s="1"/>
      <ns0:c r="K4" s="1"/>
      <ns0:c r="L4" s="1"/>
      <ns0:c r="M4" s="1"/>
      <ns0:c r="N4" s="1"/>
    </ns0:row>
    <ns0:row r="5" spans="1:14" ht="22.05" customHeight="1">
      <ns0:c r="A5" s="1" t="s">
        <ns0:v>5</ns0:v>
      </ns0:c>
      <ns0:c r="B5" s="10" t="s">
        <ns0:v>6</ns0:v>
      </ns0:c>
      <ns0:c r="C5" s="10"/>
      <ns0:c r="D5" s="10"/>
      <ns0:c r="E5" s="10"/>
      <ns0:c r="F5" s="10"/>
      <ns0:c r="G5" s="10"/>
      <ns0:c r="H5" s="10"/>
      <ns0:c r="I5" s="10"/>
      <ns0:c r="J5" s="10"/>
      <ns0:c r="K5" s="10"/>
      <ns0:c r="L5" s="10"/>
      <ns0:c r="M5" s="10"/>
      <ns0:c r="N5" s="1"/>
    </ns0:row>
    <ns0:row r="6" spans="1:14" ht="22.05" customHeight="1">
      <ns0:c r="A6" s="6" t="s">
        <ns0:v>7</ns0:v>
      </ns0:c>
      <ns0:c r="B6" s="7">
        <ns0:f>Breakdown!B6</ns0:f>
        <ns0:v>46023</ns0:v>
      </ns0:c>
      <ns0:c r="C6" s="7">
        <ns0:f>Breakdown!C6</ns0:f>
        <ns0:v>46054</ns0:v>
      </ns0:c>
      <ns0:c r="D6" s="7">
        <ns0:f>Breakdown!D6</ns0:f>
        <ns0:v>46082</ns0:v>
      </ns0:c>
      <ns0:c r="E6" s="7">
        <ns0:f>Breakdown!E6</ns0:f>
        <ns0:v>46113</ns0:v>
      </ns0:c>
      <ns0:c r="F6" s="7">
        <ns0:f>Breakdown!F6</ns0:f>
        <ns0:v>46143</ns0:v>
      </ns0:c>
      <ns0:c r="G6" s="7">
        <ns0:f>Breakdown!G6</ns0:f>
        <ns0:v>46174</ns0:v>
      </ns0:c>
      <ns0:c r="H6" s="7">
        <ns0:f>Breakdown!H6</ns0:f>
        <ns0:v>46204</ns0:v>
      </ns0:c>
      <ns0:c r="I6" s="7">
        <ns0:f>Breakdown!I6</ns0:f>
        <ns0:v>46235</ns0:v>
      </ns0:c>
      <ns0:c r="J6" s="7">
        <ns0:f>Breakdown!J6</ns0:f>
        <ns0:v>46266</ns0:v>
      </ns0:c>
      <ns0:c r="K6" s="7">
        <ns0:f>Breakdown!K6</ns0:f>
        <ns0:v>46296</ns0:v>
      </ns0:c>
      <ns0:c r="L6" s="7">
        <ns0:f>Breakdown!L6</ns0:f>
        <ns0:v>46327</ns0:v>
      </ns0:c>
      <ns0:c r="M6" s="7">
        <ns0:f>Breakdown!M6</ns0:f>
        <ns0:v>46357</ns0:v>
      </ns0:c>
      <ns0:c r="N6" s="6" t="s">
        <ns0:v>8</ns0:v>
      </ns0:c>
    </ns0:row>
    <ns0:row r="7" spans="1:14" ht="22.05" customHeight="1">
      <ns0:c r="A7" s="1"/>
      <ns0:c r="B7" s="2"/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8"/>
    </ns0:row>
    <ns0:row r="8" spans="1:14" ht="22.05" customHeight="1">
      <ns0:c r="A8" s="14" t="s">
        <ns0:v>9</ns0:v>
      </ns0:c>
      <ns0:c r="B8" s="15">
        <ns0:f>Breakdown!B12</ns0:f>
        <ns0:v>225000</ns0:v>
      </ns0:c>
      <ns0:c r="C8" s="15">
        <ns0:f>Breakdown!C12</ns0:f>
        <ns0:v>525000</ns0:v>
      </ns0:c>
      <ns0:c r="D8" s="15">
        <ns0:f>Breakdown!D12</ns0:f>
        <ns0:v>750000</ns0:v>
      </ns0:c>
      <ns0:c r="E8" s="15">
        <ns0:f>Breakdown!E12</ns0:f>
        <ns0:v>1050000</ns0:v>
      </ns0:c>
      <ns0:c r="F8" s="15">
        <ns0:f>Breakdown!F12</ns0:f>
        <ns0:v>1275000</ns0:v>
      </ns0:c>
      <ns0:c r="G8" s="15">
        <ns0:f>Breakdown!G12</ns0:f>
        <ns0:v>1425000</ns0:v>
      </ns0:c>
      <ns0:c r="H8" s="15">
        <ns0:f>Breakdown!H12</ns0:f>
        <ns0:v>1800000</ns0:v>
      </ns0:c>
      <ns0:c r="I8" s="15">
        <ns0:f>Breakdown!I12</ns0:f>
        <ns0:v>2025000</ns0:v>
      </ns0:c>
      <ns0:c r="J8" s="15">
        <ns0:f>Breakdown!J12</ns0:f>
        <ns0:v>2400000</ns0:v>
      </ns0:c>
      <ns0:c r="K8" s="15">
        <ns0:f>Breakdown!K12</ns0:f>
        <ns0:v>2700000</ns0:v>
      </ns0:c>
      <ns0:c r="L8" s="15">
        <ns0:f>Breakdown!L12</ns0:f>
        <ns0:v>3225000</ns0:v>
      </ns0:c>
      <ns0:c r="M8" s="15">
        <ns0:f>Breakdown!M12</ns0:f>
        <ns0:v>3600000</ns0:v>
      </ns0:c>
      <ns0:c r="N8" s="15">
        <ns0:f>Breakdown!N12</ns0:f>
        <ns0:v>21000000</ns0:v>
      </ns0:c>
    </ns0:row>
    <ns0:row r="9" spans="1:14" ht="22.05" customHeight="1">
      <ns0:c r="A9" s="14" t="s">
        <ns0:v>10</ns0:v>
      </ns0:c>
      <ns0:c r="B9" s="15">
        <ns0:f>Breakdown!B19</ns0:f>
        <ns0:v>100000</ns0:v>
      </ns0:c>
      <ns0:c r="C9" s="15">
        <ns0:f>Breakdown!C19</ns0:f>
        <ns0:v>100000</ns0:v>
      </ns0:c>
      <ns0:c r="D9" s="15">
        <ns0:f>Breakdown!D19</ns0:f>
        <ns0:v>100000</ns0:v>
      </ns0:c>
      <ns0:c r="E9" s="15">
        <ns0:f>Breakdown!E19</ns0:f>
        <ns0:v>100000</ns0:v>
      </ns0:c>
      <ns0:c r="F9" s="15">
        <ns0:f>Breakdown!F19</ns0:f>
        <ns0:v>100000</ns0:v>
      </ns0:c>
      <ns0:c r="G9" s="15">
        <ns0:f>Breakdown!G19</ns0:f>
        <ns0:v>100000</ns0:v>
      </ns0:c>
      <ns0:c r="H9" s="15">
        <ns0:f>Breakdown!H19</ns0:f>
        <ns0:v>150000</ns0:v>
      </ns0:c>
      <ns0:c r="I9" s="15">
        <ns0:f>Breakdown!I19</ns0:f>
        <ns0:v>172500</ns0:v>
      </ns0:c>
      <ns0:c r="J9" s="15">
        <ns0:f>Breakdown!J19</ns0:f>
        <ns0:v>195000</ns0:v>
      </ns0:c>
      <ns0:c r="K9" s="15">
        <ns0:f>Breakdown!K19</ns0:f>
        <ns0:v>225000</ns0:v>
      </ns0:c>
      <ns0:c r="L9" s="15">
        <ns0:f>Breakdown!L19</ns0:f>
        <ns0:v>262500</ns0:v>
      </ns0:c>
      <ns0:c r="M9" s="15">
        <ns0:f>Breakdown!M19</ns0:f>
        <ns0:v>300000</ns0:v>
      </ns0:c>
      <ns0:c r="N9" s="15">
        <ns0:f>Breakdown!N19</ns0:f>
        <ns0:v>1905000</ns0:v>
      </ns0:c>
    </ns0:row>
    <ns0:row r="10" spans="1:14" ht="22.05" customHeight="1">
      <ns0:c r="A10" s="1"/>
      <ns0:c r="B10" s="2"/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8"/>
    </ns0:row>
    <ns0:row r="11" spans="1:14" ht="22.05" customHeight="1">
      <ns0:c r="A11" s="14" t="s">
        <ns0:v>11</ns0:v>
      </ns0:c>
      <ns0:c r="B11" s="15">
        <ns0:f>Breakdown!B21</ns0:f>
        <ns0:v>125000</ns0:v>
      </ns0:c>
      <ns0:c r="C11" s="15">
        <ns0:f>Breakdown!C21</ns0:f>
        <ns0:v>425000</ns0:v>
      </ns0:c>
      <ns0:c r="D11" s="15">
        <ns0:f>Breakdown!D21</ns0:f>
        <ns0:v>650000</ns0:v>
      </ns0:c>
      <ns0:c r="E11" s="15">
        <ns0:f>Breakdown!E21</ns0:f>
        <ns0:v>950000</ns0:v>
      </ns0:c>
      <ns0:c r="F11" s="15">
        <ns0:f>Breakdown!F21</ns0:f>
        <ns0:v>1175000</ns0:v>
      </ns0:c>
      <ns0:c r="G11" s="15">
        <ns0:f>Breakdown!G21</ns0:f>
        <ns0:v>1325000</ns0:v>
      </ns0:c>
      <ns0:c r="H11" s="15">
        <ns0:f>Breakdown!H21</ns0:f>
        <ns0:v>1650000</ns0:v>
      </ns0:c>
      <ns0:c r="I11" s="15">
        <ns0:f>Breakdown!I21</ns0:f>
        <ns0:v>1852500</ns0:v>
      </ns0:c>
      <ns0:c r="J11" s="15">
        <ns0:f>Breakdown!J21</ns0:f>
        <ns0:v>2205000</ns0:v>
      </ns0:c>
      <ns0:c r="K11" s="15">
        <ns0:f>Breakdown!K21</ns0:f>
        <ns0:v>2475000</ns0:v>
      </ns0:c>
      <ns0:c r="L11" s="15">
        <ns0:f>Breakdown!L21</ns0:f>
        <ns0:v>2962500</ns0:v>
      </ns0:c>
      <ns0:c r="M11" s="15">
        <ns0:f>Breakdown!M21</ns0:f>
        <ns0:v>3300000</ns0:v>
      </ns0:c>
      <ns0:c r="N11" s="15">
        <ns0:f>Breakdown!N21</ns0:f>
        <ns0:v>19095000</ns0:v>
      </ns0:c>
    </ns0:row>
    <ns0:row r="12" spans="1:14" ht="22.05" customHeight="1">
      <ns0:c r="A12" s="18" t="s">
        <ns0:v>12</ns0:v>
      </ns0:c>
      <ns0:c r="B12" s="19">
        <ns0:f>Breakdown!B22</ns0:f>
        <ns0:v>0.5556</ns0:v>
      </ns0:c>
      <ns0:c r="C12" s="19">
        <ns0:f>Breakdown!C22</ns0:f>
        <ns0:v>0.8095</ns0:v>
      </ns0:c>
      <ns0:c r="D12" s="19">
        <ns0:f>Breakdown!D22</ns0:f>
        <ns0:v>0.8667</ns0:v>
      </ns0:c>
      <ns0:c r="E12" s="19">
        <ns0:f>Breakdown!E22</ns0:f>
        <ns0:v>0.9048</ns0:v>
      </ns0:c>
      <ns0:c r="F12" s="19">
        <ns0:f>Breakdown!F22</ns0:f>
        <ns0:v>0.9216</ns0:v>
      </ns0:c>
      <ns0:c r="G12" s="19">
        <ns0:f>Breakdown!G22</ns0:f>
        <ns0:v>0.9298</ns0:v>
      </ns0:c>
      <ns0:c r="H12" s="19">
        <ns0:f>Breakdown!H22</ns0:f>
        <ns0:v>0.9167</ns0:v>
      </ns0:c>
      <ns0:c r="I12" s="19">
        <ns0:f>Breakdown!I22</ns0:f>
        <ns0:v>0.9148</ns0:v>
      </ns0:c>
      <ns0:c r="J12" s="19">
        <ns0:f>Breakdown!J22</ns0:f>
        <ns0:v>0.9187</ns0:v>
      </ns0:c>
      <ns0:c r="K12" s="19">
        <ns0:f>Breakdown!K22</ns0:f>
        <ns0:v>0.9167</ns0:v>
      </ns0:c>
      <ns0:c r="L12" s="19">
        <ns0:f>Breakdown!L22</ns0:f>
        <ns0:v>0.9186</ns0:v>
      </ns0:c>
      <ns0:c r="M12" s="19">
        <ns0:f>Breakdown!M22</ns0:f>
        <ns0:v>0.9167</ns0:v>
      </ns0:c>
      <ns0:c r="N12" s="20">
        <ns0:f>Breakdown!N22</ns0:f>
        <ns0:v>0.9093</ns0:v>
      </ns0:c>
    </ns0:row>
    <ns0:row r="13" spans="1:14" ht="22.05" customHeight="1">
      <ns0:c r="A13" s="1"/>
      <ns0:c r="B13" s="2"/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8"/>
    </ns0:row>
    <ns0:row r="14" spans="1:14" ht="22.05" customHeight="1">
      <ns0:c r="A14" s="14" t="s">
        <ns0:v>13</ns0:v>
      </ns0:c>
      <ns0:c r="B14" s="15">
        <ns0:f>Breakdown!B35</ns0:f>
        <ns0:v>450000</ns0:v>
      </ns0:c>
      <ns0:c r="C14" s="15">
        <ns0:f>Breakdown!C35</ns0:f>
        <ns0:v>450000</ns0:v>
      </ns0:c>
      <ns0:c r="D14" s="15">
        <ns0:f>Breakdown!D35</ns0:f>
        <ns0:v>450000</ns0:v>
      </ns0:c>
      <ns0:c r="E14" s="15">
        <ns0:f>Breakdown!E35</ns0:f>
        <ns0:v>450000</ns0:v>
      </ns0:c>
      <ns0:c r="F14" s="15">
        <ns0:f>Breakdown!F35</ns0:f>
        <ns0:v>450000</ns0:v>
      </ns0:c>
      <ns0:c r="G14" s="15">
        <ns0:f>Breakdown!G35</ns0:f>
        <ns0:v>450000</ns0:v>
      </ns0:c>
      <ns0:c r="H14" s="15">
        <ns0:f>Breakdown!H35</ns0:f>
        <ns0:v>234000</ns0:v>
      </ns0:c>
      <ns0:c r="I14" s="15">
        <ns0:f>Breakdown!I35</ns0:f>
        <ns0:v>238500</ns0:v>
      </ns0:c>
      <ns0:c r="J14" s="15">
        <ns0:f>Breakdown!J35</ns0:f>
        <ns0:v>250500</ns0:v>
      </ns0:c>
      <ns0:c r="K14" s="15">
        <ns0:f>Breakdown!K35</ns0:f>
        <ns0:v>256500</ns0:v>
      </ns0:c>
      <ns0:c r="L14" s="15">
        <ns0:f>Breakdown!L35</ns0:f>
        <ns0:v>292500</ns0:v>
      </ns0:c>
      <ns0:c r="M14" s="15">
        <ns0:f>Breakdown!M35</ns0:f>
        <ns0:v>300000</ns0:v>
      </ns0:c>
      <ns0:c r="N14" s="15">
        <ns0:f>Breakdown!N35</ns0:f>
        <ns0:v>4272000</ns0:v>
      </ns0:c>
    </ns0:row>
    <ns0:row r="15" spans="1:14" ht="22.05" customHeight="1">
      <ns0:c r="A15" s="1"/>
      <ns0:c r="B15" s="2"/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8"/>
    </ns0:row>
    <ns0:row r="16" spans="1:14" ht="22.05" customHeight="1">
      <ns0:c r="A16" s="14" t="s">
        <ns0:v>14</ns0:v>
      </ns0:c>
      <ns0:c r="B16" s="15">
        <ns0:f>Breakdown!B37</ns0:f>
        <ns0:v>-325000</ns0:v>
      </ns0:c>
      <ns0:c r="C16" s="15">
        <ns0:f>Breakdown!C37</ns0:f>
        <ns0:v>-25000</ns0:v>
      </ns0:c>
      <ns0:c r="D16" s="15">
        <ns0:f>Breakdown!D37</ns0:f>
        <ns0:v>200000</ns0:v>
      </ns0:c>
      <ns0:c r="E16" s="15">
        <ns0:f>Breakdown!E37</ns0:f>
        <ns0:v>500000</ns0:v>
      </ns0:c>
      <ns0:c r="F16" s="15">
        <ns0:f>Breakdown!F37</ns0:f>
        <ns0:v>725000</ns0:v>
      </ns0:c>
      <ns0:c r="G16" s="15">
        <ns0:f>Breakdown!G37</ns0:f>
        <ns0:v>875000</ns0:v>
      </ns0:c>
      <ns0:c r="H16" s="15">
        <ns0:f>Breakdown!H37</ns0:f>
        <ns0:v>1416000</ns0:v>
      </ns0:c>
      <ns0:c r="I16" s="15">
        <ns0:f>Breakdown!I37</ns0:f>
        <ns0:v>1614000</ns0:v>
      </ns0:c>
      <ns0:c r="J16" s="15">
        <ns0:f>Breakdown!J37</ns0:f>
        <ns0:v>1954500</ns0:v>
      </ns0:c>
      <ns0:c r="K16" s="15">
        <ns0:f>Breakdown!K37</ns0:f>
        <ns0:v>2218500</ns0:v>
      </ns0:c>
      <ns0:c r="L16" s="15">
        <ns0:f>Breakdown!L37</ns0:f>
        <ns0:v>2670000</ns0:v>
      </ns0:c>
      <ns0:c r="M16" s="15">
        <ns0:f>Breakdown!M37</ns0:f>
        <ns0:v>3000000</ns0:v>
      </ns0:c>
      <ns0:c r="N16" s="15">
        <ns0:f>Breakdown!N37</ns0:f>
        <ns0:v>14823000</ns0:v>
      </ns0:c>
    </ns0:row>
    <ns0:row r="17" spans="1:14" ht="22.05" customHeight="1">
      <ns0:c r="A17" s="1"/>
      <ns0:c r="B17" s="2"/>
      <ns0:c r="C17" s="2"/>
      <ns0:c r="D17" s="2"/>
      <ns0:c r="E17" s="2"/>
      <ns0:c r="F17" s="2"/>
      <ns0:c r="G17" s="2"/>
      <ns0:c r="H17" s="2"/>
      <ns0:c r="I17" s="2"/>
      <ns0:c r="J17" s="2"/>
      <ns0:c r="K17" s="2"/>
      <ns0:c r="L17" s="2"/>
      <ns0:c r="M17" s="2"/>
      <ns0:c r="N17" s="8"/>
    </ns0:row>
    <ns0:row r="18" spans="1:14" ht="22.05" customHeight="1">
      <ns0:c r="A18" s="1" t="s">
        <ns0:v>15</ns0:v>
      </ns0:c>
      <ns0:c r="B18" s="2">
        <ns0:f>Breakdown!B40</ns0:f>
        <ns0:v>550000</ns0:v>
      </ns0:c>
      <ns0:c r="C18" s="2">
        <ns0:f>Breakdown!C40</ns0:f>
        <ns0:v>550000</ns0:v>
      </ns0:c>
      <ns0:c r="D18" s="2">
        <ns0:f>Breakdown!D40</ns0:f>
        <ns0:v>550000</ns0:v>
      </ns0:c>
      <ns0:c r="E18" s="2">
        <ns0:f>Breakdown!E40</ns0:f>
        <ns0:v>550000</ns0:v>
      </ns0:c>
      <ns0:c r="F18" s="2">
        <ns0:f>Breakdown!F40</ns0:f>
        <ns0:v>550000</ns0:v>
      </ns0:c>
      <ns0:c r="G18" s="2">
        <ns0:f>Breakdown!G40</ns0:f>
        <ns0:v>550000</ns0:v>
      </ns0:c>
      <ns0:c r="H18" s="2">
        <ns0:f>Breakdown!H40</ns0:f>
        <ns0:v>0</ns0:v>
      </ns0:c>
      <ns0:c r="I18" s="2">
        <ns0:f>Breakdown!I40</ns0:f>
        <ns0:v>0</ns0:v>
      </ns0:c>
      <ns0:c r="J18" s="2">
        <ns0:f>Breakdown!J40</ns0:f>
        <ns0:v>0</ns0:v>
      </ns0:c>
      <ns0:c r="K18" s="2">
        <ns0:f>Breakdown!K40</ns0:f>
        <ns0:v>0</ns0:v>
      </ns0:c>
      <ns0:c r="L18" s="2">
        <ns0:f>Breakdown!L40</ns0:f>
        <ns0:v>0</ns0:v>
      </ns0:c>
      <ns0:c r="M18" s="2">
        <ns0:f>Breakdown!M40</ns0:f>
        <ns0:v>0</ns0:v>
      </ns0:c>
      <ns0:c r="N18" s="8">
        <ns0:f>Breakdown!N40</ns0:f>
        <ns0:v>3300000</ns0:v>
      </ns0:c>
    </ns0:row>
    <ns0:row r="19" spans="1:14" ht="22.05" customHeight="1">
      <ns0:c r="A19" s="1" t="s">
        <ns0:v>16</ns0:v>
      </ns0:c>
      <ns0:c r="B19" s="2">
        <ns0:f>Breakdown!B41</ns0:f>
        <ns0:v>0</ns0:v>
      </ns0:c>
      <ns0:c r="C19" s="2">
        <ns0:f>Breakdown!C41</ns0:f>
        <ns0:v>0</ns0:v>
      </ns0:c>
      <ns0:c r="D19" s="2">
        <ns0:f>Breakdown!D41</ns0:f>
        <ns0:v>0</ns0:v>
      </ns0:c>
      <ns0:c r="E19" s="2">
        <ns0:f>Breakdown!E41</ns0:f>
        <ns0:v>0</ns0:v>
      </ns0:c>
      <ns0:c r="F19" s="2">
        <ns0:f>Breakdown!F41</ns0:f>
        <ns0:v>0</ns0:v>
      </ns0:c>
      <ns0:c r="G19" s="2">
        <ns0:f>Breakdown!G41</ns0:f>
        <ns0:v>0</ns0:v>
      </ns0:c>
      <ns0:c r="H19" s="2">
        <ns0:f>Breakdown!H41</ns0:f>
        <ns0:v>0</ns0:v>
      </ns0:c>
      <ns0:c r="I19" s="2">
        <ns0:f>Breakdown!I41</ns0:f>
        <ns0:v>0</ns0:v>
      </ns0:c>
      <ns0:c r="J19" s="2">
        <ns0:f>Breakdown!J41</ns0:f>
        <ns0:v>0</ns0:v>
      </ns0:c>
      <ns0:c r="K19" s="2">
        <ns0:f>Breakdown!K41</ns0:f>
        <ns0:v>0</ns0:v>
      </ns0:c>
      <ns0:c r="L19" s="2">
        <ns0:f>Breakdown!L41</ns0:f>
        <ns0:v>0</ns0:v>
      </ns0:c>
      <ns0:c r="M19" s="2">
        <ns0:f>Breakdown!M41</ns0:f>
        <ns0:v>0</ns0:v>
      </ns0:c>
      <ns0:c r="N19" s="8">
        <ns0:f>Breakdown!N41</ns0:f>
        <ns0:v>0</ns0:v>
      </ns0:c>
    </ns0:row>
    <ns0:row r="20" spans="1:14" ht="22.05" customHeight="1">
      <ns0:c r="A20" s="14" t="s">
        <ns0:v>17</ns0:v>
      </ns0:c>
      <ns0:c r="B20" s="15">
        <ns0:f>Breakdown!B42</ns0:f>
        <ns0:v>225000</ns0:v>
      </ns0:c>
      <ns0:c r="C20" s="15">
        <ns0:f>Breakdown!C42</ns0:f>
        <ns0:v>525000</ns0:v>
      </ns0:c>
      <ns0:c r="D20" s="15">
        <ns0:f>Breakdown!D42</ns0:f>
        <ns0:v>750000</ns0:v>
      </ns0:c>
      <ns0:c r="E20" s="15">
        <ns0:f>Breakdown!E42</ns0:f>
        <ns0:v>1050000</ns0:v>
      </ns0:c>
      <ns0:c r="F20" s="15">
        <ns0:f>Breakdown!F42</ns0:f>
        <ns0:v>1275000</ns0:v>
      </ns0:c>
      <ns0:c r="G20" s="15">
        <ns0:f>Breakdown!G42</ns0:f>
        <ns0:v>1425000</ns0:v>
      </ns0:c>
      <ns0:c r="H20" s="15">
        <ns0:f>Breakdown!H42</ns0:f>
        <ns0:v>1416000</ns0:v>
      </ns0:c>
      <ns0:c r="I20" s="15">
        <ns0:f>Breakdown!I42</ns0:f>
        <ns0:v>1614000</ns0:v>
      </ns0:c>
      <ns0:c r="J20" s="15">
        <ns0:f>Breakdown!J42</ns0:f>
        <ns0:v>1954500</ns0:v>
      </ns0:c>
      <ns0:c r="K20" s="15">
        <ns0:f>Breakdown!K42</ns0:f>
        <ns0:v>2218500</ns0:v>
      </ns0:c>
      <ns0:c r="L20" s="15">
        <ns0:f>Breakdown!L42</ns0:f>
        <ns0:v>2670000</ns0:v>
      </ns0:c>
      <ns0:c r="M20" s="15">
        <ns0:f>Breakdown!M42</ns0:f>
        <ns0:v>3000000</ns0:v>
      </ns0:c>
      <ns0:c r="N20" s="15">
        <ns0:f>Breakdown!N42</ns0:f>
        <ns0:v>18123000</ns0:v>
      </ns0:c>
    </ns0:row>
    <ns0:row r="21" spans="1:14" ht="22.05" customHeight="1">
      <ns0:c r="A21" s="1" t="s">
        <ns0:v>18</ns0:v>
      </ns0:c>
      <ns0:c r="B21" s="2">
        <ns0:f>Breakdown!B43</ns0:f>
        <ns0:v>0</ns0:v>
      </ns0:c>
      <ns0:c r="C21" s="2">
        <ns0:f>Breakdown!C43</ns0:f>
        <ns0:v>0</ns0:v>
      </ns0:c>
      <ns0:c r="D21" s="2">
        <ns0:f>Breakdown!D43</ns0:f>
        <ns0:v>0</ns0:v>
      </ns0:c>
      <ns0:c r="E21" s="2">
        <ns0:f>Breakdown!E43</ns0:f>
        <ns0:v>0</ns0:v>
      </ns0:c>
      <ns0:c r="F21" s="2">
        <ns0:f>Breakdown!F43</ns0:f>
        <ns0:v>0</ns0:v>
      </ns0:c>
      <ns0:c r="G21" s="2">
        <ns0:f>Breakdown!G43</ns0:f>
        <ns0:v>0</ns0:v>
      </ns0:c>
      <ns0:c r="H21" s="2">
        <ns0:f>Breakdown!H43</ns0:f>
        <ns0:v>0</ns0:v>
      </ns0:c>
      <ns0:c r="I21" s="2">
        <ns0:f>Breakdown!I43</ns0:f>
        <ns0:v>0</ns0:v>
      </ns0:c>
      <ns0:c r="J21" s="2">
        <ns0:f>Breakdown!J43</ns0:f>
        <ns0:v>0</ns0:v>
      </ns0:c>
      <ns0:c r="K21" s="2">
        <ns0:f>Breakdown!K43</ns0:f>
        <ns0:v>0</ns0:v>
      </ns0:c>
      <ns0:c r="L21" s="2">
        <ns0:f>Breakdown!L43</ns0:f>
        <ns0:v>0</ns0:v>
      </ns0:c>
      <ns0:c r="M21" s="2">
        <ns0:f>Breakdown!M43</ns0:f>
        <ns0:v>0</ns0:v>
      </ns0:c>
      <ns0:c r="N21" s="8">
        <ns0:f>Breakdown!N43</ns0:f>
        <ns0:v>0</ns0:v>
      </ns0:c>
    </ns0:row>
    <ns0:row r="22" spans="1:14" ht="22.05" customHeight="1">
      <ns0:c r="A22" s="1"/>
      <ns0:c r="B22" s="2"/>
      <ns0:c r="C22" s="2"/>
      <ns0:c r="D22" s="2"/>
      <ns0:c r="E22" s="2"/>
      <ns0:c r="F22" s="2"/>
      <ns0:c r="G22" s="2"/>
      <ns0:c r="H22" s="2"/>
      <ns0:c r="I22" s="2"/>
      <ns0:c r="J22" s="2"/>
      <ns0:c r="K22" s="2"/>
      <ns0:c r="L22" s="2"/>
      <ns0:c r="M22" s="2"/>
      <ns0:c r="N22" s="8"/>
    </ns0:row>
    <ns0:row r="23" spans="1:14" ht="22.05" customHeight="1">
      <ns0:c r="A23" s="16" t="s">
        <ns0:v>19</ns0:v>
      </ns0:c>
      <ns0:c r="B23" s="17">
        <ns0:f>Breakdown!B45</ns0:f>
        <ns0:v>225000</ns0:v>
      </ns0:c>
      <ns0:c r="C23" s="17">
        <ns0:f>Breakdown!C45</ns0:f>
        <ns0:v>525000</ns0:v>
      </ns0:c>
      <ns0:c r="D23" s="17">
        <ns0:f>Breakdown!D45</ns0:f>
        <ns0:v>750000</ns0:v>
      </ns0:c>
      <ns0:c r="E23" s="17">
        <ns0:f>Breakdown!E45</ns0:f>
        <ns0:v>1050000</ns0:v>
      </ns0:c>
      <ns0:c r="F23" s="17">
        <ns0:f>Breakdown!F45</ns0:f>
        <ns0:v>1275000</ns0:v>
      </ns0:c>
      <ns0:c r="G23" s="17">
        <ns0:f>Breakdown!G45</ns0:f>
        <ns0:v>1425000</ns0:v>
      </ns0:c>
      <ns0:c r="H23" s="17">
        <ns0:f>Breakdown!H45</ns0:f>
        <ns0:v>1416000</ns0:v>
      </ns0:c>
      <ns0:c r="I23" s="17">
        <ns0:f>Breakdown!I45</ns0:f>
        <ns0:v>1614000</ns0:v>
      </ns0:c>
      <ns0:c r="J23" s="17">
        <ns0:f>Breakdown!J45</ns0:f>
        <ns0:v>1954500</ns0:v>
      </ns0:c>
      <ns0:c r="K23" s="17">
        <ns0:f>Breakdown!K45</ns0:f>
        <ns0:v>2218500</ns0:v>
      </ns0:c>
      <ns0:c r="L23" s="17">
        <ns0:f>Breakdown!L45</ns0:f>
        <ns0:v>2670000</ns0:v>
      </ns0:c>
      <ns0:c r="M23" s="17">
        <ns0:f>Breakdown!M45</ns0:f>
        <ns0:v>3000000</ns0:v>
      </ns0:c>
      <ns0:c r="N23" s="17">
        <ns0:f>Breakdown!N45</ns0:f>
        <ns0:v>18123000</ns0:v>
      </ns0:c>
    </ns0:row>
    <ns0:row r="24" spans="1:14" ht="22.05" customHeight="1">
      <ns0:c r="A24" s="18" t="s">
        <ns0:v>20</ns0:v>
      </ns0:c>
      <ns0:c r="B24" s="19">
        <ns0:f>Breakdown!B46</ns0:f>
        <ns0:v>1.0</ns0:v>
      </ns0:c>
      <ns0:c r="C24" s="19">
        <ns0:f>Breakdown!C46</ns0:f>
        <ns0:v>1.0</ns0:v>
      </ns0:c>
      <ns0:c r="D24" s="19">
        <ns0:f>Breakdown!D46</ns0:f>
        <ns0:v>1.0</ns0:v>
      </ns0:c>
      <ns0:c r="E24" s="19">
        <ns0:f>Breakdown!E46</ns0:f>
        <ns0:v>1.0</ns0:v>
      </ns0:c>
      <ns0:c r="F24" s="19">
        <ns0:f>Breakdown!F46</ns0:f>
        <ns0:v>1.0</ns0:v>
      </ns0:c>
      <ns0:c r="G24" s="19">
        <ns0:f>Breakdown!G46</ns0:f>
        <ns0:v>1.0</ns0:v>
      </ns0:c>
      <ns0:c r="H24" s="19">
        <ns0:f>Breakdown!H46</ns0:f>
        <ns0:v>0.7867</ns0:v>
      </ns0:c>
      <ns0:c r="I24" s="19">
        <ns0:f>Breakdown!I46</ns0:f>
        <ns0:v>0.797</ns0:v>
      </ns0:c>
      <ns0:c r="J24" s="19">
        <ns0:f>Breakdown!J46</ns0:f>
        <ns0:v>0.8144</ns0:v>
      </ns0:c>
      <ns0:c r="K24" s="19">
        <ns0:f>Breakdown!K46</ns0:f>
        <ns0:v>0.8217</ns0:v>
      </ns0:c>
      <ns0:c r="L24" s="19">
        <ns0:f>Breakdown!L46</ns0:f>
        <ns0:v>0.8279</ns0:v>
      </ns0:c>
      <ns0:c r="M24" s="19">
        <ns0:f>Breakdown!M46</ns0:f>
        <ns0:v>0.8333</ns0:v>
      </ns0:c>
      <ns0:c r="N24" s="20">
        <ns0:f>Breakdown!N46</ns0:f>
        <ns0:v>0.863</ns0:v>
      </ns0:c>
    </ns0:row>
    <ns0:row r="25" spans="1:14" ht="22.05" customHeight="1">
      <ns0:c r="A25" s="1"/>
      <ns0:c r="B25" s="2"/>
      <ns0:c r="C25" s="2"/>
      <ns0:c r="D25" s="2"/>
      <ns0:c r="E25" s="2"/>
      <ns0:c r="F25" s="2"/>
      <ns0:c r="G25" s="2"/>
      <ns0:c r="H25" s="2"/>
      <ns0:c r="I25" s="2"/>
      <ns0:c r="J25" s="2"/>
      <ns0:c r="K25" s="2"/>
      <ns0:c r="L25" s="2"/>
      <ns0:c r="M25" s="2"/>
      <ns0:c r="N25" s="8"/>
    </ns0:row>
  </ns0:sheetData>
  <ns0:conditionalFormatting sqref="B11:N11">
    <ns0:cfRule type="cellIs" dxfId="7" priority="1" operator="lessThan">
      <ns0:formula>0</ns0:formula>
    </ns0:cfRule>
  </ns0:conditionalFormatting>
  <ns0:conditionalFormatting sqref="B16:N16">
    <ns0:cfRule type="cellIs" dxfId="6" priority="2" operator="lessThan">
      <ns0:formula>0</ns0:formula>
    </ns0:cfRule>
  </ns0:conditionalFormatting>
  <ns0:conditionalFormatting sqref="B20:N20">
    <ns0:cfRule type="cellIs" dxfId="5" priority="3" operator="lessThan">
      <ns0:formula>0</ns0:formula>
    </ns0:cfRule>
  </ns0:conditionalFormatting>
  <ns0:conditionalFormatting sqref="B23:N23">
    <ns0:cfRule type="cellIs" dxfId="4" priority="4" operator="lessThan">
      <ns0:formula>0</ns0:formula>
    </ns0:cfRule>
  </ns0:conditionalFormatting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ns0:sheetPr>
    <ns0:tabColor rgb="FF6493BA"/>
  </ns0:sheetPr>
  <ns0:dimension ref="A1:N52"/>
  <ns0:sheetViews>
    <ns0:sheetView showGridLines="0" workbookViewId="0">
      <ns0:pane xSplit="1" ySplit="6" topLeftCell="B40" activePane="bottomRight" state="frozen"/>
      <ns0:selection pane="topRight"/>
      <ns0:selection pane="bottomLeft"/>
      <ns0:selection pane="bottomRight" activeCell="B7" sqref="B7"/>
    </ns0:sheetView>
  </ns0:sheetViews>
  <ns0:sheetFormatPr defaultRowHeight="13.8"/>
  <ns0:cols>
    <ns0:col min="1" max="1" width="36" customWidth="1"/>
    <ns0:col min="2" max="13" width="14" customWidth="1"/>
    <ns0:col min="14" max="14" width="16" customWidth="1"/>
  </ns0:cols>
  <ns0:sheetData>
    <ns0:row r="1" spans="1:14" ht="22.05" customHeight="1">
      <ns0:c r="A1" s="1"/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</ns0:row>
    <ns0:row r="2" spans="1:14" ht="30" customHeight="1">
      <ns0:c r="A2" s="3" t="s">
        <ns0:v>21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  <ns0:c r="K2" s="4"/>
      <ns0:c r="L2" s="4"/>
      <ns0:c r="M2" s="4"/>
      <ns0:c r="N2" s="4"/>
    </ns0:row>
    <ns0:row r="3" spans="1:14" ht="22.05" customHeight="1">
      <ns0:c r="A3" s="1" t="s">
        <ns0:v>1</ns0:v>
      </ns0:c>
      <ns0:c r="B3" s="9" t="s">
        <ns0:v>22</ns0:v>
      </ns0:c>
      <ns0:c r="C3" s="9"/>
      <ns0:c r="D3" s="1"/>
      <ns0:c r="E3" s="1"/>
      <ns0:c r="F3" s="1"/>
      <ns0:c r="G3" s="1"/>
      <ns0:c r="H3" s="1"/>
      <ns0:c r="I3" s="1"/>
      <ns0:c r="J3" s="1"/>
      <ns0:c r="K3" s="1"/>
      <ns0:c r="L3" s="1"/>
      <ns0:c r="M3" s="1"/>
      <ns0:c r="N3" s="1"/>
    </ns0:row>
    <ns0:row r="4" spans="1:14" ht="22.05" customHeight="1">
      <ns0:c r="A4" s="1" t="s">
        <ns0:v>2</ns0:v>
      </ns0:c>
      <ns0:c r="B4" s="9">
        <ns0:v>2026</ns0:v>
      </ns0:c>
      <ns0:c r="C4" s="1"/>
      <ns0:c r="D4" s="1" t="s">
        <ns0:v>3</ns0:v>
      </ns0:c>
      <ns0:c r="E4" s="9" t="s">
        <ns0:v>23</ns0:v>
      </ns0:c>
      <ns0:c r="F4" s="1"/>
      <ns0:c r="G4" s="1" t="s">
        <ns0:v>4</ns0:v>
      </ns0:c>
      <ns0:c r="H4" s="9" t="s">
        <ns0:v>24</ns0:v>
      </ns0:c>
      <ns0:c r="I4" s="1"/>
      <ns0:c r="J4" s="1"/>
      <ns0:c r="K4" s="1"/>
      <ns0:c r="L4" s="1"/>
      <ns0:c r="M4" s="1"/>
      <ns0:c r="N4" s="1"/>
    </ns0:row>
    <ns0:row r="5" spans="1:14" ht="22.05" customHeight="1">
      <ns0:c r="A5" s="1" t="s">
        <ns0:v>25</ns0:v>
      </ns0:c>
      <ns0:c r="B5" s="10" t="s">
        <ns0:v>26</ns0:v>
      </ns0:c>
      <ns0:c r="C5" s="10"/>
      <ns0:c r="D5" s="10"/>
      <ns0:c r="E5" s="10"/>
      <ns0:c r="F5" s="10"/>
      <ns0:c r="G5" s="10"/>
      <ns0:c r="H5" s="10"/>
      <ns0:c r="I5" s="10"/>
      <ns0:c r="J5" s="10"/>
      <ns0:c r="K5" s="10"/>
      <ns0:c r="L5" s="10"/>
      <ns0:c r="M5" s="10"/>
      <ns0:c r="N5" s="1"/>
    </ns0:row>
    <ns0:row r="6" spans="1:14" ht="22.05" customHeight="1">
      <ns0:c r="A6" s="6" t="s">
        <ns0:v>7</ns0:v>
      </ns0:c>
      <ns0:c r="B6" s="7">
        <ns0:f>DATE($B$4,1,1)</ns0:f>
        <ns0:v>46023</ns0:v>
      </ns0:c>
      <ns0:c r="C6" s="7">
        <ns0:f>DATE($B$4,2,1)</ns0:f>
        <ns0:v>46054</ns0:v>
      </ns0:c>
      <ns0:c r="D6" s="7">
        <ns0:f>DATE($B$4,3,1)</ns0:f>
        <ns0:v>46082</ns0:v>
      </ns0:c>
      <ns0:c r="E6" s="7">
        <ns0:f>DATE($B$4,4,1)</ns0:f>
        <ns0:v>46113</ns0:v>
      </ns0:c>
      <ns0:c r="F6" s="7">
        <ns0:f>DATE($B$4,5,1)</ns0:f>
        <ns0:v>46143</ns0:v>
      </ns0:c>
      <ns0:c r="G6" s="7">
        <ns0:f>DATE($B$4,6,1)</ns0:f>
        <ns0:v>46174</ns0:v>
      </ns0:c>
      <ns0:c r="H6" s="7">
        <ns0:f>DATE($B$4,7,1)</ns0:f>
        <ns0:v>46204</ns0:v>
      </ns0:c>
      <ns0:c r="I6" s="7">
        <ns0:f>DATE($B$4,8,1)</ns0:f>
        <ns0:v>46235</ns0:v>
      </ns0:c>
      <ns0:c r="J6" s="7">
        <ns0:f>DATE($B$4,9,1)</ns0:f>
        <ns0:v>46266</ns0:v>
      </ns0:c>
      <ns0:c r="K6" s="7">
        <ns0:f>DATE($B$4,10,1)</ns0:f>
        <ns0:v>46296</ns0:v>
      </ns0:c>
      <ns0:c r="L6" s="7">
        <ns0:f>DATE($B$4,11,1)</ns0:f>
        <ns0:v>46327</ns0:v>
      </ns0:c>
      <ns0:c r="M6" s="7">
        <ns0:f>DATE($B$4,12,1)</ns0:f>
        <ns0:v>46357</ns0:v>
      </ns0:c>
      <ns0:c r="N6" s="6" t="s">
        <ns0:v>8</ns0:v>
      </ns0:c>
    </ns0:row>
    <ns0:row r="7" spans="1:14" ht="22.05" customHeight="1">
      <ns0:c r="A7" s="5" t="s">
        <ns0:v>27</ns0:v>
      </ns0:c>
      <ns0:c r="B7" s="13"/>
      <ns0:c r="C7" s="13"/>
      <ns0:c r="D7" s="13"/>
      <ns0:c r="E7" s="13"/>
      <ns0:c r="F7" s="13"/>
      <ns0:c r="G7" s="13"/>
      <ns0:c r="H7" s="13"/>
      <ns0:c r="I7" s="13"/>
      <ns0:c r="J7" s="13"/>
      <ns0:c r="K7" s="13"/>
      <ns0:c r="L7" s="13"/>
      <ns0:c r="M7" s="13"/>
      <ns0:c r="N7" s="13"/>
    </ns0:row>
    <ns0:row r="8" spans="1:14" ht="22.05" customHeight="1">
      <ns0:c r="A8" s="12" t="s">
        <ns0:v>28</ns0:v>
      </ns0:c>
      <ns0:c r="B8" s="11">
        <ns0:v>225000</ns0:v>
      </ns0:c>
      <ns0:c r="C8" s="11">
        <ns0:v>375000</ns0:v>
      </ns0:c>
      <ns0:c r="D8" s="11">
        <ns0:v>600000</ns0:v>
      </ns0:c>
      <ns0:c r="E8" s="11">
        <ns0:v>900000</ns0:v>
      </ns0:c>
      <ns0:c r="F8" s="11">
        <ns0:v>1125000</ns0:v>
      </ns0:c>
      <ns0:c r="G8" s="11">
        <ns0:v>1275000</ns0:v>
      </ns0:c>
      <ns0:c r="H8" s="11">
        <ns0:v>1500000</ns0:v>
      </ns0:c>
      <ns0:c r="I8" s="11">
        <ns0:v>1725000</ns0:v>
      </ns0:c>
      <ns0:c r="J8" s="11">
        <ns0:v>1950000</ns0:v>
      </ns0:c>
      <ns0:c r="K8" s="11">
        <ns0:v>2250000</ns0:v>
      </ns0:c>
      <ns0:c r="L8" s="11">
        <ns0:v>2625000</ns0:v>
      </ns0:c>
      <ns0:c r="M8" s="11">
        <ns0:v>3000000</ns0:v>
      </ns0:c>
      <ns0:c r="N8" s="8">
        <ns0:f>SUM(B8:M8)</ns0:f>
        <ns0:v>17550000</ns0:v>
      </ns0:c>
    </ns0:row>
    <ns0:row r="9" spans="1:14" ht="22.05" customHeight="1">
      <ns0:c r="A9" s="12" t="s">
        <ns0:v>29</ns0:v>
      </ns0:c>
      <ns0:c r="B9" s="11">
        <ns0:v>0</ns0:v>
      </ns0:c>
      <ns0:c r="C9" s="11">
        <ns0:v>150000</ns0:v>
      </ns0:c>
      <ns0:c r="D9" s="11">
        <ns0:v>150000</ns0:v>
      </ns0:c>
      <ns0:c r="E9" s="11">
        <ns0:v>150000</ns0:v>
      </ns0:c>
      <ns0:c r="F9" s="11">
        <ns0:v>150000</ns0:v>
      </ns0:c>
      <ns0:c r="G9" s="11">
        <ns0:v>150000</ns0:v>
      </ns0:c>
      <ns0:c r="H9" s="11">
        <ns0:v>300000</ns0:v>
      </ns0:c>
      <ns0:c r="I9" s="11">
        <ns0:v>300000</ns0:v>
      </ns0:c>
      <ns0:c r="J9" s="11">
        <ns0:v>450000</ns0:v>
      </ns0:c>
      <ns0:c r="K9" s="11">
        <ns0:v>450000</ns0:v>
      </ns0:c>
      <ns0:c r="L9" s="11">
        <ns0:v>600000</ns0:v>
      </ns0:c>
      <ns0:c r="M9" s="11">
        <ns0:v>600000</ns0:v>
      </ns0:c>
      <ns0:c r="N9" s="8">
        <ns0:f>SUM(B9:M9)</ns0:f>
        <ns0:v>3450000</ns0:v>
      </ns0:c>
    </ns0:row>
    <ns0:row r="10" spans="1:14" ht="22.05" customHeight="1">
      <ns0:c r="A10" s="12" t="s">
        <ns0:v>30</ns0:v>
      </ns0:c>
      <ns0:c r="B10" s="11">
        <ns0:v>0</ns0:v>
      </ns0:c>
      <ns0:c r="C10" s="11">
        <ns0:v>0</ns0:v>
      </ns0:c>
      <ns0:c r="D10" s="11">
        <ns0:v>0</ns0:v>
      </ns0:c>
      <ns0:c r="E10" s="11">
        <ns0:v>0</ns0:v>
      </ns0:c>
      <ns0:c r="F10" s="11">
        <ns0:v>0</ns0:v>
      </ns0:c>
      <ns0:c r="G10" s="11">
        <ns0:v>0</ns0:v>
      </ns0:c>
      <ns0:c r="H10" s="11">
        <ns0:v>0</ns0:v>
      </ns0:c>
      <ns0:c r="I10" s="11">
        <ns0:v>0</ns0:v>
      </ns0:c>
      <ns0:c r="J10" s="11">
        <ns0:v>0</ns0:v>
      </ns0:c>
      <ns0:c r="K10" s="11">
        <ns0:v>0</ns0:v>
      </ns0:c>
      <ns0:c r="L10" s="11">
        <ns0:v>0</ns0:v>
      </ns0:c>
      <ns0:c r="M10" s="11">
        <ns0:v>0</ns0:v>
      </ns0:c>
      <ns0:c r="N10" s="8">
        <ns0:f>SUM(B10:M10)</ns0:f>
        <ns0:v>0</ns0:v>
      </ns0:c>
    </ns0:row>
    <ns0:row r="11" spans="1:14" ht="22.05" customHeight="1">
      <ns0:c r="A11" s="12" t="s">
        <ns0:v>31</ns0:v>
      </ns0:c>
      <ns0:c r="B11" s="11">
        <ns0:v>0</ns0:v>
      </ns0:c>
      <ns0:c r="C11" s="11">
        <ns0:v>0</ns0:v>
      </ns0:c>
      <ns0:c r="D11" s="11">
        <ns0:v>0</ns0:v>
      </ns0:c>
      <ns0:c r="E11" s="11">
        <ns0:v>0</ns0:v>
      </ns0:c>
      <ns0:c r="F11" s="11">
        <ns0:v>0</ns0:v>
      </ns0:c>
      <ns0:c r="G11" s="11">
        <ns0:v>0</ns0:v>
      </ns0:c>
      <ns0:c r="H11" s="11">
        <ns0:v>0</ns0:v>
      </ns0:c>
      <ns0:c r="I11" s="11">
        <ns0:v>0</ns0:v>
      </ns0:c>
      <ns0:c r="J11" s="11">
        <ns0:v>0</ns0:v>
      </ns0:c>
      <ns0:c r="K11" s="11">
        <ns0:v>0</ns0:v>
      </ns0:c>
      <ns0:c r="L11" s="11">
        <ns0:v>0</ns0:v>
      </ns0:c>
      <ns0:c r="M11" s="11">
        <ns0:v>0</ns0:v>
      </ns0:c>
      <ns0:c r="N11" s="8">
        <ns0:f>SUM(B11:M11)</ns0:f>
        <ns0:v>0</ns0:v>
      </ns0:c>
    </ns0:row>
    <ns0:row r="12" spans="1:14" ht="22.05" customHeight="1">
      <ns0:c r="A12" s="14" t="s">
        <ns0:v>9</ns0:v>
      </ns0:c>
      <ns0:c r="B12" s="15">
        <ns0:f t="shared" ref="B12:M12" si="0">SUM(B8:B10)-B11</ns0:f>
        <ns0:v>225000</ns0:v>
      </ns0:c>
      <ns0:c r="C12" s="15">
        <ns0:f t="shared" si="0"/>
        <ns0:v>525000</ns0:v>
      </ns0:c>
      <ns0:c r="D12" s="15">
        <ns0:f t="shared" si="0"/>
        <ns0:v>750000</ns0:v>
      </ns0:c>
      <ns0:c r="E12" s="15">
        <ns0:f t="shared" si="0"/>
        <ns0:v>1050000</ns0:v>
      </ns0:c>
      <ns0:c r="F12" s="15">
        <ns0:f t="shared" si="0"/>
        <ns0:v>1275000</ns0:v>
      </ns0:c>
      <ns0:c r="G12" s="15">
        <ns0:f t="shared" si="0"/>
        <ns0:v>1425000</ns0:v>
      </ns0:c>
      <ns0:c r="H12" s="15">
        <ns0:f t="shared" si="0"/>
        <ns0:v>1800000</ns0:v>
      </ns0:c>
      <ns0:c r="I12" s="15">
        <ns0:f t="shared" si="0"/>
        <ns0:v>2025000</ns0:v>
      </ns0:c>
      <ns0:c r="J12" s="15">
        <ns0:f t="shared" si="0"/>
        <ns0:v>2400000</ns0:v>
      </ns0:c>
      <ns0:c r="K12" s="15">
        <ns0:f t="shared" si="0"/>
        <ns0:v>2700000</ns0:v>
      </ns0:c>
      <ns0:c r="L12" s="15">
        <ns0:f t="shared" si="0"/>
        <ns0:v>3225000</ns0:v>
      </ns0:c>
      <ns0:c r="M12" s="15">
        <ns0:f t="shared" si="0"/>
        <ns0:v>3600000</ns0:v>
      </ns0:c>
      <ns0:c r="N12" s="15">
        <ns0:f>SUM(B12:M12)</ns0:f>
        <ns0:v>21000000</ns0:v>
      </ns0:c>
    </ns0:row>
    <ns0:row r="13" spans="1:14" ht="22.05" customHeight="1">
      <ns0:c r="A13" s="1"/>
      <ns0:c r="B13" s="2"/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8"/>
    </ns0:row>
    <ns0:row r="14" spans="1:14" ht="22.05" customHeight="1">
      <ns0:c r="A14" s="5" t="s">
        <ns0:v>32</ns0:v>
      </ns0:c>
      <ns0:c r="B14" s="13"/>
      <ns0:c r="C14" s="13"/>
      <ns0:c r="D14" s="13"/>
      <ns0:c r="E14" s="13"/>
      <ns0:c r="F14" s="13"/>
      <ns0:c r="G14" s="13"/>
      <ns0:c r="H14" s="13"/>
      <ns0:c r="I14" s="13"/>
      <ns0:c r="J14" s="13"/>
      <ns0:c r="K14" s="13"/>
      <ns0:c r="L14" s="13"/>
      <ns0:c r="M14" s="13"/>
      <ns0:c r="N14" s="13"/>
    </ns0:row>
    <ns0:row r="15" spans="1:14" ht="22.05" customHeight="1">
      <ns0:c r="A15" s="12" t="s">
        <ns0:v>33</ns0:v>
      </ns0:c>
      <ns0:c r="B15" s="11">
        <ns0:v>0</ns0:v>
      </ns0:c>
      <ns0:c r="C15" s="11">
        <ns0:v>0</ns0:v>
      </ns0:c>
      <ns0:c r="D15" s="11">
        <ns0:v>0</ns0:v>
      </ns0:c>
      <ns0:c r="E15" s="11">
        <ns0:v>0</ns0:v>
      </ns0:c>
      <ns0:c r="F15" s="11">
        <ns0:v>0</ns0:v>
      </ns0:c>
      <ns0:c r="G15" s="11">
        <ns0:v>0</ns0:v>
      </ns0:c>
      <ns0:c r="H15" s="11">
        <ns0:v>0</ns0:v>
      </ns0:c>
      <ns0:c r="I15" s="11">
        <ns0:v>0</ns0:v>
      </ns0:c>
      <ns0:c r="J15" s="11">
        <ns0:v>0</ns0:v>
      </ns0:c>
      <ns0:c r="K15" s="11">
        <ns0:v>0</ns0:v>
      </ns0:c>
      <ns0:c r="L15" s="11">
        <ns0:v>0</ns0:v>
      </ns0:c>
      <ns0:c r="M15" s="11">
        <ns0:v>0</ns0:v>
      </ns0:c>
      <ns0:c r="N15" s="8">
        <ns0:f>SUM(B15:M15)</ns0:f>
        <ns0:v>0</ns0:v>
      </ns0:c>
    </ns0:row>
    <ns0:row r="16" spans="1:14" ht="22.05" customHeight="1">
      <ns0:c r="A16" s="12" t="s">
        <ns0:v>34</ns0:v>
      </ns0:c>
      <ns0:c r="B16" s="11">
        <ns0:v>0</ns0:v>
      </ns0:c>
      <ns0:c r="C16" s="11">
        <ns0:v>0</ns0:v>
      </ns0:c>
      <ns0:c r="D16" s="11">
        <ns0:v>0</ns0:v>
      </ns0:c>
      <ns0:c r="E16" s="11">
        <ns0:v>0</ns0:v>
      </ns0:c>
      <ns0:c r="F16" s="11">
        <ns0:v>0</ns0:v>
      </ns0:c>
      <ns0:c r="G16" s="11">
        <ns0:v>0</ns0:v>
      </ns0:c>
      <ns0:c r="H16" s="11">
        <ns0:v>0</ns0:v>
      </ns0:c>
      <ns0:c r="I16" s="11">
        <ns0:v>0</ns0:v>
      </ns0:c>
      <ns0:c r="J16" s="11">
        <ns0:v>0</ns0:v>
      </ns0:c>
      <ns0:c r="K16" s="11">
        <ns0:v>0</ns0:v>
      </ns0:c>
      <ns0:c r="L16" s="11">
        <ns0:v>0</ns0:v>
      </ns0:c>
      <ns0:c r="M16" s="11">
        <ns0:v>0</ns0:v>
      </ns0:c>
      <ns0:c r="N16" s="8">
        <ns0:f>SUM(B16:M16)</ns0:f>
        <ns0:v>0</ns0:v>
      </ns0:c>
    </ns0:row>
    <ns0:row r="17" spans="1:14" ht="22.05" customHeight="1">
      <ns0:c r="A17" s="12" t="s">
        <ns0:v>35</ns0:v>
      </ns0:c>
      <ns0:c r="B17" s="11">
        <ns0:v>25000</ns0:v>
      </ns0:c>
      <ns0:c r="C17" s="11">
        <ns0:v>25000</ns0:v>
      </ns0:c>
      <ns0:c r="D17" s="11">
        <ns0:v>25000</ns0:v>
      </ns0:c>
      <ns0:c r="E17" s="11">
        <ns0:v>25000</ns0:v>
      </ns0:c>
      <ns0:c r="F17" s="11">
        <ns0:v>25000</ns0:v>
      </ns0:c>
      <ns0:c r="G17" s="11">
        <ns0:v>25000</ns0:v>
      </ns0:c>
      <ns0:c r="H17" s="11">
        <ns0:v>50000</ns0:v>
      </ns0:c>
      <ns0:c r="I17" s="11">
        <ns0:v>57500</ns0:v>
      </ns0:c>
      <ns0:c r="J17" s="11">
        <ns0:v>65000</ns0:v>
      </ns0:c>
      <ns0:c r="K17" s="11">
        <ns0:v>75000</ns0:v>
      </ns0:c>
      <ns0:c r="L17" s="11">
        <ns0:v>87500</ns0:v>
      </ns0:c>
      <ns0:c r="M17" s="11">
        <ns0:v>100000</ns0:v>
      </ns0:c>
      <ns0:c r="N17" s="8">
        <ns0:f>SUM(B17:M17)</ns0:f>
        <ns0:v>585000</ns0:v>
      </ns0:c>
    </ns0:row>
    <ns0:row r="18" spans="1:14" ht="22.05" customHeight="1">
      <ns0:c r="A18" s="12" t="s">
        <ns0:v>36</ns0:v>
      </ns0:c>
      <ns0:c r="B18" s="11">
        <ns0:v>75000</ns0:v>
      </ns0:c>
      <ns0:c r="C18" s="11">
        <ns0:v>75000</ns0:v>
      </ns0:c>
      <ns0:c r="D18" s="11">
        <ns0:v>75000</ns0:v>
      </ns0:c>
      <ns0:c r="E18" s="11">
        <ns0:v>75000</ns0:v>
      </ns0:c>
      <ns0:c r="F18" s="11">
        <ns0:v>75000</ns0:v>
      </ns0:c>
      <ns0:c r="G18" s="11">
        <ns0:v>75000</ns0:v>
      </ns0:c>
      <ns0:c r="H18" s="11">
        <ns0:v>100000</ns0:v>
      </ns0:c>
      <ns0:c r="I18" s="11">
        <ns0:v>115000</ns0:v>
      </ns0:c>
      <ns0:c r="J18" s="11">
        <ns0:v>130000</ns0:v>
      </ns0:c>
      <ns0:c r="K18" s="11">
        <ns0:v>150000</ns0:v>
      </ns0:c>
      <ns0:c r="L18" s="11">
        <ns0:v>175000</ns0:v>
      </ns0:c>
      <ns0:c r="M18" s="11">
        <ns0:v>200000</ns0:v>
      </ns0:c>
      <ns0:c r="N18" s="8">
        <ns0:f>SUM(B18:M18)</ns0:f>
        <ns0:v>1320000</ns0:v>
      </ns0:c>
    </ns0:row>
    <ns0:row r="19" spans="1:14" ht="22.05" customHeight="1">
      <ns0:c r="A19" s="14" t="s">
        <ns0:v>10</ns0:v>
      </ns0:c>
      <ns0:c r="B19" s="15">
        <ns0:f t="shared" ref="B19:M19" si="1">SUM(B15:B18)</ns0:f>
        <ns0:v>100000</ns0:v>
      </ns0:c>
      <ns0:c r="C19" s="15">
        <ns0:f t="shared" si="1"/>
        <ns0:v>100000</ns0:v>
      </ns0:c>
      <ns0:c r="D19" s="15">
        <ns0:f t="shared" si="1"/>
        <ns0:v>100000</ns0:v>
      </ns0:c>
      <ns0:c r="E19" s="15">
        <ns0:f t="shared" si="1"/>
        <ns0:v>100000</ns0:v>
      </ns0:c>
      <ns0:c r="F19" s="15">
        <ns0:f t="shared" si="1"/>
        <ns0:v>100000</ns0:v>
      </ns0:c>
      <ns0:c r="G19" s="15">
        <ns0:f t="shared" si="1"/>
        <ns0:v>100000</ns0:v>
      </ns0:c>
      <ns0:c r="H19" s="15">
        <ns0:f t="shared" si="1"/>
        <ns0:v>150000</ns0:v>
      </ns0:c>
      <ns0:c r="I19" s="15">
        <ns0:f t="shared" si="1"/>
        <ns0:v>172500</ns0:v>
      </ns0:c>
      <ns0:c r="J19" s="15">
        <ns0:f t="shared" si="1"/>
        <ns0:v>195000</ns0:v>
      </ns0:c>
      <ns0:c r="K19" s="15">
        <ns0:f t="shared" si="1"/>
        <ns0:v>225000</ns0:v>
      </ns0:c>
      <ns0:c r="L19" s="15">
        <ns0:f t="shared" si="1"/>
        <ns0:v>262500</ns0:v>
      </ns0:c>
      <ns0:c r="M19" s="15">
        <ns0:f t="shared" si="1"/>
        <ns0:v>300000</ns0:v>
      </ns0:c>
      <ns0:c r="N19" s="15">
        <ns0:f>SUM(B19:M19)</ns0:f>
        <ns0:v>1905000</ns0:v>
      </ns0:c>
    </ns0:row>
    <ns0:row r="20" spans="1:14" ht="22.05" customHeight="1">
      <ns0:c r="A20" s="1"/>
      <ns0:c r="B20" s="2"/>
      <ns0:c r="C20" s="2"/>
      <ns0:c r="D20" s="2"/>
      <ns0:c r="E20" s="2"/>
      <ns0:c r="F20" s="2"/>
      <ns0:c r="G20" s="2"/>
      <ns0:c r="H20" s="2"/>
      <ns0:c r="I20" s="2"/>
      <ns0:c r="J20" s="2"/>
      <ns0:c r="K20" s="2"/>
      <ns0:c r="L20" s="2"/>
      <ns0:c r="M20" s="2"/>
      <ns0:c r="N20" s="8"/>
    </ns0:row>
    <ns0:row r="21" spans="1:14" ht="22.05" customHeight="1">
      <ns0:c r="A21" s="14" t="s">
        <ns0:v>11</ns0:v>
      </ns0:c>
      <ns0:c r="B21" s="15">
        <ns0:f t="shared" ref="B21:M21" si="2">B12-B19</ns0:f>
        <ns0:v>125000</ns0:v>
      </ns0:c>
      <ns0:c r="C21" s="15">
        <ns0:f t="shared" si="2"/>
        <ns0:v>425000</ns0:v>
      </ns0:c>
      <ns0:c r="D21" s="15">
        <ns0:f t="shared" si="2"/>
        <ns0:v>650000</ns0:v>
      </ns0:c>
      <ns0:c r="E21" s="15">
        <ns0:f t="shared" si="2"/>
        <ns0:v>950000</ns0:v>
      </ns0:c>
      <ns0:c r="F21" s="15">
        <ns0:f t="shared" si="2"/>
        <ns0:v>1175000</ns0:v>
      </ns0:c>
      <ns0:c r="G21" s="15">
        <ns0:f t="shared" si="2"/>
        <ns0:v>1325000</ns0:v>
      </ns0:c>
      <ns0:c r="H21" s="15">
        <ns0:f t="shared" si="2"/>
        <ns0:v>1650000</ns0:v>
      </ns0:c>
      <ns0:c r="I21" s="15">
        <ns0:f t="shared" si="2"/>
        <ns0:v>1852500</ns0:v>
      </ns0:c>
      <ns0:c r="J21" s="15">
        <ns0:f t="shared" si="2"/>
        <ns0:v>2205000</ns0:v>
      </ns0:c>
      <ns0:c r="K21" s="15">
        <ns0:f t="shared" si="2"/>
        <ns0:v>2475000</ns0:v>
      </ns0:c>
      <ns0:c r="L21" s="15">
        <ns0:f t="shared" si="2"/>
        <ns0:v>2962500</ns0:v>
      </ns0:c>
      <ns0:c r="M21" s="15">
        <ns0:f t="shared" si="2"/>
        <ns0:v>3300000</ns0:v>
      </ns0:c>
      <ns0:c r="N21" s="15">
        <ns0:f>SUM(B21:M21)</ns0:f>
        <ns0:v>19095000</ns0:v>
      </ns0:c>
    </ns0:row>
    <ns0:row r="22" spans="1:14" ht="22.05" customHeight="1">
      <ns0:c r="A22" s="18" t="s">
        <ns0:v>12</ns0:v>
      </ns0:c>
      <ns0:c r="B22" s="19">
        <ns0:f t="shared" ref="B22:N22" si="3">IF(B12=0,"n.a.",B21/B12)</ns0:f>
        <ns0:v>0.5556</ns0:v>
      </ns0:c>
      <ns0:c r="C22" s="19">
        <ns0:f t="shared" si="3"/>
        <ns0:v>0.8095</ns0:v>
      </ns0:c>
      <ns0:c r="D22" s="19">
        <ns0:f t="shared" si="3"/>
        <ns0:v>0.8667</ns0:v>
      </ns0:c>
      <ns0:c r="E22" s="19">
        <ns0:f t="shared" si="3"/>
        <ns0:v>0.9048</ns0:v>
      </ns0:c>
      <ns0:c r="F22" s="19">
        <ns0:f t="shared" si="3"/>
        <ns0:v>0.9216</ns0:v>
      </ns0:c>
      <ns0:c r="G22" s="19">
        <ns0:f t="shared" si="3"/>
        <ns0:v>0.9298</ns0:v>
      </ns0:c>
      <ns0:c r="H22" s="19">
        <ns0:f t="shared" si="3"/>
        <ns0:v>0.9167</ns0:v>
      </ns0:c>
      <ns0:c r="I22" s="19">
        <ns0:f t="shared" si="3"/>
        <ns0:v>0.9148</ns0:v>
      </ns0:c>
      <ns0:c r="J22" s="19">
        <ns0:f t="shared" si="3"/>
        <ns0:v>0.9187</ns0:v>
      </ns0:c>
      <ns0:c r="K22" s="19">
        <ns0:f t="shared" si="3"/>
        <ns0:v>0.9167</ns0:v>
      </ns0:c>
      <ns0:c r="L22" s="19">
        <ns0:f t="shared" si="3"/>
        <ns0:v>0.9186</ns0:v>
      </ns0:c>
      <ns0:c r="M22" s="19">
        <ns0:f t="shared" si="3"/>
        <ns0:v>0.9167</ns0:v>
      </ns0:c>
      <ns0:c r="N22" s="20">
        <ns0:f t="shared" si="3"/>
        <ns0:v>0.9093</ns0:v>
      </ns0:c>
    </ns0:row>
    <ns0:row r="23" spans="1:14" ht="22.05" customHeight="1">
      <ns0:c r="A23" s="1"/>
      <ns0:c r="B23" s="2"/>
      <ns0:c r="C23" s="2"/>
      <ns0:c r="D23" s="2"/>
      <ns0:c r="E23" s="2"/>
      <ns0:c r="F23" s="2"/>
      <ns0:c r="G23" s="2"/>
      <ns0:c r="H23" s="2"/>
      <ns0:c r="I23" s="2"/>
      <ns0:c r="J23" s="2"/>
      <ns0:c r="K23" s="2"/>
      <ns0:c r="L23" s="2"/>
      <ns0:c r="M23" s="2"/>
      <ns0:c r="N23" s="8"/>
    </ns0:row>
    <ns0:row r="24" spans="1:14" ht="22.05" customHeight="1">
      <ns0:c r="A24" s="5" t="s">
        <ns0:v>37</ns0:v>
      </ns0:c>
      <ns0:c r="B24" s="13"/>
      <ns0:c r="C24" s="13"/>
      <ns0:c r="D24" s="13"/>
      <ns0:c r="E24" s="13"/>
      <ns0:c r="F24" s="13"/>
      <ns0:c r="G24" s="13"/>
      <ns0:c r="H24" s="13"/>
      <ns0:c r="I24" s="13"/>
      <ns0:c r="J24" s="13"/>
      <ns0:c r="K24" s="13"/>
      <ns0:c r="L24" s="13"/>
      <ns0:c r="M24" s="13"/>
      <ns0:c r="N24" s="13"/>
    </ns0:row>
    <ns0:row r="25" spans="1:14" ht="22.05" customHeight="1">
      <ns0:c r="A25" s="12" t="s">
        <ns0:v>38</ns0:v>
      </ns0:c>
      <ns0:c r="B25" s="11">
        <ns0:v>0</ns0:v>
      </ns0:c>
      <ns0:c r="C25" s="11">
        <ns0:v>0</ns0:v>
      </ns0:c>
      <ns0:c r="D25" s="11">
        <ns0:v>0</ns0:v>
      </ns0:c>
      <ns0:c r="E25" s="11">
        <ns0:v>0</ns0:v>
      </ns0:c>
      <ns0:c r="F25" s="11">
        <ns0:v>0</ns0:v>
      </ns0:c>
      <ns0:c r="G25" s="11">
        <ns0:v>0</ns0:v>
      </ns0:c>
      <ns0:c r="H25" s="11">
        <ns0:v>0</ns0:v>
      </ns0:c>
      <ns0:c r="I25" s="11">
        <ns0:v>0</ns0:v>
      </ns0:c>
      <ns0:c r="J25" s="11">
        <ns0:v>0</ns0:v>
      </ns0:c>
      <ns0:c r="K25" s="11">
        <ns0:v>0</ns0:v>
      </ns0:c>
      <ns0:c r="L25" s="11">
        <ns0:v>0</ns0:v>
      </ns0:c>
      <ns0:c r="M25" s="11">
        <ns0:v>0</ns0:v>
      </ns0:c>
      <ns0:c r="N25" s="8">
        <ns0:f t="shared" ref="N25:N35" si="4">SUM(B25:M25)</ns0:f>
        <ns0:v>0</ns0:v>
      </ns0:c>
    </ns0:row>
    <ns0:row r="26" spans="1:14" ht="22.05" customHeight="1">
      <ns0:c r="A26" s="12" t="s">
        <ns0:v>39</ns0:v>
      </ns0:c>
      <ns0:c r="B26" s="11">
        <ns0:v>0</ns0:v>
      </ns0:c>
      <ns0:c r="C26" s="11">
        <ns0:v>0</ns0:v>
      </ns0:c>
      <ns0:c r="D26" s="11">
        <ns0:v>0</ns0:v>
      </ns0:c>
      <ns0:c r="E26" s="11">
        <ns0:v>0</ns0:v>
      </ns0:c>
      <ns0:c r="F26" s="11">
        <ns0:v>0</ns0:v>
      </ns0:c>
      <ns0:c r="G26" s="11">
        <ns0:v>0</ns0:v>
      </ns0:c>
      <ns0:c r="H26" s="11">
        <ns0:v>0</ns0:v>
      </ns0:c>
      <ns0:c r="I26" s="11">
        <ns0:v>0</ns0:v>
      </ns0:c>
      <ns0:c r="J26" s="11">
        <ns0:v>0</ns0:v>
      </ns0:c>
      <ns0:c r="K26" s="11">
        <ns0:v>0</ns0:v>
      </ns0:c>
      <ns0:c r="L26" s="11">
        <ns0:v>0</ns0:v>
      </ns0:c>
      <ns0:c r="M26" s="11">
        <ns0:v>0</ns0:v>
      </ns0:c>
      <ns0:c r="N26" s="8">
        <ns0:f t="shared" si="4"/>
        <ns0:v>0</ns0:v>
      </ns0:c>
    </ns0:row>
    <ns0:row r="27" spans="1:14" ht="22.05" customHeight="1">
      <ns0:c r="A27" s="12" t="s">
        <ns0:v>40</ns0:v>
      </ns0:c>
      <ns0:c r="B27" s="11">
        <ns0:v>0</ns0:v>
      </ns0:c>
      <ns0:c r="C27" s="11">
        <ns0:v>0</ns0:v>
      </ns0:c>
      <ns0:c r="D27" s="11">
        <ns0:v>0</ns0:v>
      </ns0:c>
      <ns0:c r="E27" s="11">
        <ns0:v>0</ns0:v>
      </ns0:c>
      <ns0:c r="F27" s="11">
        <ns0:v>0</ns0:v>
      </ns0:c>
      <ns0:c r="G27" s="11">
        <ns0:v>0</ns0:v>
      </ns0:c>
      <ns0:c r="H27" s="11">
        <ns0:v>0</ns0:v>
      </ns0:c>
      <ns0:c r="I27" s="11">
        <ns0:v>0</ns0:v>
      </ns0:c>
      <ns0:c r="J27" s="11">
        <ns0:v>0</ns0:v>
      </ns0:c>
      <ns0:c r="K27" s="11">
        <ns0:v>0</ns0:v>
      </ns0:c>
      <ns0:c r="L27" s="11">
        <ns0:v>0</ns0:v>
      </ns0:c>
      <ns0:c r="M27" s="11">
        <ns0:v>0</ns0:v>
      </ns0:c>
      <ns0:c r="N27" s="8">
        <ns0:f t="shared" si="4"/>
        <ns0:v>0</ns0:v>
      </ns0:c>
    </ns0:row>
    <ns0:row r="28" spans="1:14" ht="22.05" customHeight="1">
      <ns0:c r="A28" s="12" t="s">
        <ns0:v>41</ns0:v>
      </ns0:c>
      <ns0:c r="B28" s="11">
        <ns0:v>150000</ns0:v>
      </ns0:c>
      <ns0:c r="C28" s="11">
        <ns0:v>150000</ns0:v>
      </ns0:c>
      <ns0:c r="D28" s="11">
        <ns0:v>150000</ns0:v>
      </ns0:c>
      <ns0:c r="E28" s="11">
        <ns0:v>150000</ns0:v>
      </ns0:c>
      <ns0:c r="F28" s="11">
        <ns0:v>150000</ns0:v>
      </ns0:c>
      <ns0:c r="G28" s="11">
        <ns0:v>150000</ns0:v>
      </ns0:c>
      <ns0:c r="H28" s="11">
        <ns0:v>37500</ns0:v>
      </ns0:c>
      <ns0:c r="I28" s="11">
        <ns0:v>37500</ns0:v>
      </ns0:c>
      <ns0:c r="J28" s="11">
        <ns0:v>45000</ns0:v>
      </ns0:c>
      <ns0:c r="K28" s="11">
        <ns0:v>45000</ns0:v>
      </ns0:c>
      <ns0:c r="L28" s="11">
        <ns0:v>60000</ns0:v>
      </ns0:c>
      <ns0:c r="M28" s="11">
        <ns0:v>60000</ns0:v>
      </ns0:c>
      <ns0:c r="N28" s="8">
        <ns0:f t="shared" si="4"/>
        <ns0:v>1185000</ns0:v>
      </ns0:c>
    </ns0:row>
    <ns0:row r="29" spans="1:14" ht="22.05" customHeight="1">
      <ns0:c r="A29" s="12" t="s">
        <ns0:v>42</ns0:v>
      </ns0:c>
      <ns0:c r="B29" s="11">
        <ns0:v>0</ns0:v>
      </ns0:c>
      <ns0:c r="C29" s="11">
        <ns0:v>0</ns0:v>
      </ns0:c>
      <ns0:c r="D29" s="11">
        <ns0:v>0</ns0:v>
      </ns0:c>
      <ns0:c r="E29" s="11">
        <ns0:v>0</ns0:v>
      </ns0:c>
      <ns0:c r="F29" s="11">
        <ns0:v>0</ns0:v>
      </ns0:c>
      <ns0:c r="G29" s="11">
        <ns0:v>0</ns0:v>
      </ns0:c>
      <ns0:c r="H29" s="11">
        <ns0:v>0</ns0:v>
      </ns0:c>
      <ns0:c r="I29" s="11">
        <ns0:v>0</ns0:v>
      </ns0:c>
      <ns0:c r="J29" s="11">
        <ns0:v>0</ns0:v>
      </ns0:c>
      <ns0:c r="K29" s="11">
        <ns0:v>0</ns0:v>
      </ns0:c>
      <ns0:c r="L29" s="11">
        <ns0:v>0</ns0:v>
      </ns0:c>
      <ns0:c r="M29" s="11">
        <ns0:v>0</ns0:v>
      </ns0:c>
      <ns0:c r="N29" s="8">
        <ns0:f t="shared" si="4"/>
        <ns0:v>0</ns0:v>
      </ns0:c>
    </ns0:row>
    <ns0:row r="30" spans="1:14" ht="22.05" customHeight="1">
      <ns0:c r="A30" s="12" t="s">
        <ns0:v>43</ns0:v>
      </ns0:c>
      <ns0:c r="B30" s="11">
        <ns0:v>0</ns0:v>
      </ns0:c>
      <ns0:c r="C30" s="11">
        <ns0:v>0</ns0:v>
      </ns0:c>
      <ns0:c r="D30" s="11">
        <ns0:v>0</ns0:v>
      </ns0:c>
      <ns0:c r="E30" s="11">
        <ns0:v>0</ns0:v>
      </ns0:c>
      <ns0:c r="F30" s="11">
        <ns0:v>0</ns0:v>
      </ns0:c>
      <ns0:c r="G30" s="11">
        <ns0:v>0</ns0:v>
      </ns0:c>
      <ns0:c r="H30" s="11">
        <ns0:v>0</ns0:v>
      </ns0:c>
      <ns0:c r="I30" s="11">
        <ns0:v>0</ns0:v>
      </ns0:c>
      <ns0:c r="J30" s="11">
        <ns0:v>0</ns0:v>
      </ns0:c>
      <ns0:c r="K30" s="11">
        <ns0:v>0</ns0:v>
      </ns0:c>
      <ns0:c r="L30" s="11">
        <ns0:v>0</ns0:v>
      </ns0:c>
      <ns0:c r="M30" s="11">
        <ns0:v>0</ns0:v>
      </ns0:c>
      <ns0:c r="N30" s="8">
        <ns0:f t="shared" si="4"/>
        <ns0:v>0</ns0:v>
      </ns0:c>
    </ns0:row>
    <ns0:row r="31" spans="1:14" ht="22.05" customHeight="1">
      <ns0:c r="A31" s="12" t="s">
        <ns0:v>44</ns0:v>
      </ns0:c>
      <ns0:c r="B31" s="11">
        <ns0:v>72500</ns0:v>
      </ns0:c>
      <ns0:c r="C31" s="11">
        <ns0:v>72500</ns0:v>
      </ns0:c>
      <ns0:c r="D31" s="11">
        <ns0:v>72500</ns0:v>
      </ns0:c>
      <ns0:c r="E31" s="11">
        <ns0:v>72500</ns0:v>
      </ns0:c>
      <ns0:c r="F31" s="11">
        <ns0:v>72500</ns0:v>
      </ns0:c>
      <ns0:c r="G31" s="11">
        <ns0:v>72500</ns0:v>
      </ns0:c>
      <ns0:c r="H31" s="11">
        <ns0:v>72500</ns0:v>
      </ns0:c>
      <ns0:c r="I31" s="11">
        <ns0:v>72500</ns0:v>
      </ns0:c>
      <ns0:c r="J31" s="11">
        <ns0:v>72500</ns0:v>
      </ns0:c>
      <ns0:c r="K31" s="11">
        <ns0:v>72500</ns0:v>
      </ns0:c>
      <ns0:c r="L31" s="11">
        <ns0:v>72500</ns0:v>
      </ns0:c>
      <ns0:c r="M31" s="11">
        <ns0:v>72500</ns0:v>
      </ns0:c>
      <ns0:c r="N31" s="8">
        <ns0:f t="shared" si="4"/>
        <ns0:v>870000</ns0:v>
      </ns0:c>
    </ns0:row>
    <ns0:row r="32" spans="1:14" ht="22.05" customHeight="1">
      <ns0:c r="A32" s="12" t="s">
        <ns0:v>45</ns0:v>
      </ns0:c>
      <ns0:c r="B32" s="11">
        <ns0:v>87500</ns0:v>
      </ns0:c>
      <ns0:c r="C32" s="11">
        <ns0:v>87500</ns0:v>
      </ns0:c>
      <ns0:c r="D32" s="11">
        <ns0:v>87500</ns0:v>
      </ns0:c>
      <ns0:c r="E32" s="11">
        <ns0:v>87500</ns0:v>
      </ns0:c>
      <ns0:c r="F32" s="11">
        <ns0:v>87500</ns0:v>
      </ns0:c>
      <ns0:c r="G32" s="11">
        <ns0:v>87500</ns0:v>
      </ns0:c>
      <ns0:c r="H32" s="11">
        <ns0:v>0</ns0:v>
      </ns0:c>
      <ns0:c r="I32" s="11">
        <ns0:v>0</ns0:v>
      </ns0:c>
      <ns0:c r="J32" s="11">
        <ns0:v>0</ns0:v>
      </ns0:c>
      <ns0:c r="K32" s="11">
        <ns0:v>0</ns0:v>
      </ns0:c>
      <ns0:c r="L32" s="11">
        <ns0:v>0</ns0:v>
      </ns0:c>
      <ns0:c r="M32" s="11">
        <ns0:v>0</ns0:v>
      </ns0:c>
      <ns0:c r="N32" s="8">
        <ns0:f t="shared" si="4"/>
        <ns0:v>525000</ns0:v>
      </ns0:c>
    </ns0:row>
    <ns0:row r="33" spans="1:14" ht="22.05" customHeight="1">
      <ns0:c r="A33" s="12" t="s">
        <ns0:v>46</ns0:v>
      </ns0:c>
      <ns0:c r="B33" s="11">
        <ns0:v>0</ns0:v>
      </ns0:c>
      <ns0:c r="C33" s="11">
        <ns0:v>0</ns0:v>
      </ns0:c>
      <ns0:c r="D33" s="11">
        <ns0:v>0</ns0:v>
      </ns0:c>
      <ns0:c r="E33" s="11">
        <ns0:v>0</ns0:v>
      </ns0:c>
      <ns0:c r="F33" s="11">
        <ns0:v>0</ns0:v>
      </ns0:c>
      <ns0:c r="G33" s="11">
        <ns0:v>0</ns0:v>
      </ns0:c>
      <ns0:c r="H33" s="11">
        <ns0:v>0</ns0:v>
      </ns0:c>
      <ns0:c r="I33" s="11">
        <ns0:v>0</ns0:v>
      </ns0:c>
      <ns0:c r="J33" s="11">
        <ns0:v>0</ns0:v>
      </ns0:c>
      <ns0:c r="K33" s="11">
        <ns0:v>0</ns0:v>
      </ns0:c>
      <ns0:c r="L33" s="11">
        <ns0:v>0</ns0:v>
      </ns0:c>
      <ns0:c r="M33" s="11">
        <ns0:v>0</ns0:v>
      </ns0:c>
      <ns0:c r="N33" s="8">
        <ns0:f t="shared" si="4"/>
        <ns0:v>0</ns0:v>
      </ns0:c>
    </ns0:row>
    <ns0:row r="34" spans="1:14" ht="22.05" customHeight="1">
      <ns0:c r="A34" s="12" t="s">
        <ns0:v>47</ns0:v>
      </ns0:c>
      <ns0:c r="B34" s="11">
        <ns0:v>140000</ns0:v>
      </ns0:c>
      <ns0:c r="C34" s="11">
        <ns0:v>140000</ns0:v>
      </ns0:c>
      <ns0:c r="D34" s="11">
        <ns0:v>140000</ns0:v>
      </ns0:c>
      <ns0:c r="E34" s="11">
        <ns0:v>140000</ns0:v>
      </ns0:c>
      <ns0:c r="F34" s="11">
        <ns0:v>140000</ns0:v>
      </ns0:c>
      <ns0:c r="G34" s="11">
        <ns0:v>140000</ns0:v>
      </ns0:c>
      <ns0:c r="H34" s="11">
        <ns0:v>124000</ns0:v>
      </ns0:c>
      <ns0:c r="I34" s="11">
        <ns0:v>128500</ns0:v>
      </ns0:c>
      <ns0:c r="J34" s="11">
        <ns0:v>133000</ns0:v>
      </ns0:c>
      <ns0:c r="K34" s="11">
        <ns0:v>139000</ns0:v>
      </ns0:c>
      <ns0:c r="L34" s="11">
        <ns0:v>160000</ns0:v>
      </ns0:c>
      <ns0:c r="M34" s="11">
        <ns0:v>167500</ns0:v>
      </ns0:c>
      <ns0:c r="N34" s="8">
        <ns0:f t="shared" si="4"/>
        <ns0:v>1692000</ns0:v>
      </ns0:c>
    </ns0:row>
    <ns0:row r="35" spans="1:14" ht="22.05" customHeight="1">
      <ns0:c r="A35" s="14" t="s">
        <ns0:v>13</ns0:v>
      </ns0:c>
      <ns0:c r="B35" s="15">
        <ns0:f t="shared" ref="B35:M35" si="5">SUM(B25:B34)</ns0:f>
        <ns0:v>450000</ns0:v>
      </ns0:c>
      <ns0:c r="C35" s="15">
        <ns0:f t="shared" si="5"/>
        <ns0:v>450000</ns0:v>
      </ns0:c>
      <ns0:c r="D35" s="15">
        <ns0:f t="shared" si="5"/>
        <ns0:v>450000</ns0:v>
      </ns0:c>
      <ns0:c r="E35" s="15">
        <ns0:f t="shared" si="5"/>
        <ns0:v>450000</ns0:v>
      </ns0:c>
      <ns0:c r="F35" s="15">
        <ns0:f t="shared" si="5"/>
        <ns0:v>450000</ns0:v>
      </ns0:c>
      <ns0:c r="G35" s="15">
        <ns0:f t="shared" si="5"/>
        <ns0:v>450000</ns0:v>
      </ns0:c>
      <ns0:c r="H35" s="15">
        <ns0:f t="shared" si="5"/>
        <ns0:v>234000</ns0:v>
      </ns0:c>
      <ns0:c r="I35" s="15">
        <ns0:f t="shared" si="5"/>
        <ns0:v>238500</ns0:v>
      </ns0:c>
      <ns0:c r="J35" s="15">
        <ns0:f t="shared" si="5"/>
        <ns0:v>250500</ns0:v>
      </ns0:c>
      <ns0:c r="K35" s="15">
        <ns0:f t="shared" si="5"/>
        <ns0:v>256500</ns0:v>
      </ns0:c>
      <ns0:c r="L35" s="15">
        <ns0:f t="shared" si="5"/>
        <ns0:v>292500</ns0:v>
      </ns0:c>
      <ns0:c r="M35" s="15">
        <ns0:f t="shared" si="5"/>
        <ns0:v>300000</ns0:v>
      </ns0:c>
      <ns0:c r="N35" s="15">
        <ns0:f t="shared" si="4"/>
        <ns0:v>4272000</ns0:v>
      </ns0:c>
    </ns0:row>
    <ns0:row r="36" spans="1:14" ht="22.05" customHeight="1">
      <ns0:c r="A36" s="1"/>
      <ns0:c r="B36" s="2"/>
      <ns0:c r="C36" s="2"/>
      <ns0:c r="D36" s="2"/>
      <ns0:c r="E36" s="2"/>
      <ns0:c r="F36" s="2"/>
      <ns0:c r="G36" s="2"/>
      <ns0:c r="H36" s="2"/>
      <ns0:c r="I36" s="2"/>
      <ns0:c r="J36" s="2"/>
      <ns0:c r="K36" s="2"/>
      <ns0:c r="L36" s="2"/>
      <ns0:c r="M36" s="2"/>
      <ns0:c r="N36" s="8"/>
    </ns0:row>
    <ns0:row r="37" spans="1:14" ht="22.05" customHeight="1">
      <ns0:c r="A37" s="14" t="s">
        <ns0:v>14</ns0:v>
      </ns0:c>
      <ns0:c r="B37" s="15">
        <ns0:f t="shared" ref="B37:M37" si="6">B21-B35</ns0:f>
        <ns0:v>-325000</ns0:v>
      </ns0:c>
      <ns0:c r="C37" s="15">
        <ns0:f t="shared" si="6"/>
        <ns0:v>-25000</ns0:v>
      </ns0:c>
      <ns0:c r="D37" s="15">
        <ns0:f t="shared" si="6"/>
        <ns0:v>200000</ns0:v>
      </ns0:c>
      <ns0:c r="E37" s="15">
        <ns0:f t="shared" si="6"/>
        <ns0:v>500000</ns0:v>
      </ns0:c>
      <ns0:c r="F37" s="15">
        <ns0:f t="shared" si="6"/>
        <ns0:v>725000</ns0:v>
      </ns0:c>
      <ns0:c r="G37" s="15">
        <ns0:f t="shared" si="6"/>
        <ns0:v>875000</ns0:v>
      </ns0:c>
      <ns0:c r="H37" s="15">
        <ns0:f t="shared" si="6"/>
        <ns0:v>1416000</ns0:v>
      </ns0:c>
      <ns0:c r="I37" s="15">
        <ns0:f t="shared" si="6"/>
        <ns0:v>1614000</ns0:v>
      </ns0:c>
      <ns0:c r="J37" s="15">
        <ns0:f t="shared" si="6"/>
        <ns0:v>1954500</ns0:v>
      </ns0:c>
      <ns0:c r="K37" s="15">
        <ns0:f t="shared" si="6"/>
        <ns0:v>2218500</ns0:v>
      </ns0:c>
      <ns0:c r="L37" s="15">
        <ns0:f t="shared" si="6"/>
        <ns0:v>2670000</ns0:v>
      </ns0:c>
      <ns0:c r="M37" s="15">
        <ns0:f t="shared" si="6"/>
        <ns0:v>3000000</ns0:v>
      </ns0:c>
      <ns0:c r="N37" s="15">
        <ns0:f>SUM(B37:M37)</ns0:f>
        <ns0:v>14823000</ns0:v>
      </ns0:c>
    </ns0:row>
    <ns0:row r="38" spans="1:14" ht="22.05" customHeight="1">
      <ns0:c r="A38" s="1"/>
      <ns0:c r="B38" s="2"/>
      <ns0:c r="C38" s="2"/>
      <ns0:c r="D38" s="2"/>
      <ns0:c r="E38" s="2"/>
      <ns0:c r="F38" s="2"/>
      <ns0:c r="G38" s="2"/>
      <ns0:c r="H38" s="2"/>
      <ns0:c r="I38" s="2"/>
      <ns0:c r="J38" s="2"/>
      <ns0:c r="K38" s="2"/>
      <ns0:c r="L38" s="2"/>
      <ns0:c r="M38" s="2"/>
      <ns0:c r="N38" s="8"/>
    </ns0:row>
    <ns0:row r="39" spans="1:14" ht="22.05" customHeight="1">
      <ns0:c r="A39" s="5" t="s">
        <ns0:v>48</ns0:v>
      </ns0:c>
      <ns0:c r="B39" s="13"/>
      <ns0:c r="C39" s="13"/>
      <ns0:c r="D39" s="13"/>
      <ns0:c r="E39" s="13"/>
      <ns0:c r="F39" s="13"/>
      <ns0:c r="G39" s="13"/>
      <ns0:c r="H39" s="13"/>
      <ns0:c r="I39" s="13"/>
      <ns0:c r="J39" s="13"/>
      <ns0:c r="K39" s="13"/>
      <ns0:c r="L39" s="13"/>
      <ns0:c r="M39" s="13"/>
      <ns0:c r="N39" s="13"/>
    </ns0:row>
    <ns0:row r="40" spans="1:14" ht="22.05" customHeight="1">
      <ns0:c r="A40" s="12" t="s">
        <ns0:v>15</ns0:v>
      </ns0:c>
      <ns0:c r="B40" s="11">
        <ns0:v>550000</ns0:v>
      </ns0:c>
      <ns0:c r="C40" s="11">
        <ns0:v>550000</ns0:v>
      </ns0:c>
      <ns0:c r="D40" s="11">
        <ns0:v>550000</ns0:v>
      </ns0:c>
      <ns0:c r="E40" s="11">
        <ns0:v>550000</ns0:v>
      </ns0:c>
      <ns0:c r="F40" s="11">
        <ns0:v>550000</ns0:v>
      </ns0:c>
      <ns0:c r="G40" s="11">
        <ns0:v>550000</ns0:v>
      </ns0:c>
      <ns0:c r="H40" s="11">
        <ns0:v>0</ns0:v>
      </ns0:c>
      <ns0:c r="I40" s="11">
        <ns0:v>0</ns0:v>
      </ns0:c>
      <ns0:c r="J40" s="11">
        <ns0:v>0</ns0:v>
      </ns0:c>
      <ns0:c r="K40" s="11">
        <ns0:v>0</ns0:v>
      </ns0:c>
      <ns0:c r="L40" s="11">
        <ns0:v>0</ns0:v>
      </ns0:c>
      <ns0:c r="M40" s="11">
        <ns0:v>0</ns0:v>
      </ns0:c>
      <ns0:c r="N40" s="8">
        <ns0:f>SUM(B40:M40)</ns0:f>
        <ns0:v>3300000</ns0:v>
      </ns0:c>
    </ns0:row>
    <ns0:row r="41" spans="1:14" ht="22.05" customHeight="1">
      <ns0:c r="A41" s="12" t="s">
        <ns0:v>16</ns0:v>
      </ns0:c>
      <ns0:c r="B41" s="11">
        <ns0:v>0</ns0:v>
      </ns0:c>
      <ns0:c r="C41" s="11">
        <ns0:v>0</ns0:v>
      </ns0:c>
      <ns0:c r="D41" s="11">
        <ns0:v>0</ns0:v>
      </ns0:c>
      <ns0:c r="E41" s="11">
        <ns0:v>0</ns0:v>
      </ns0:c>
      <ns0:c r="F41" s="11">
        <ns0:v>0</ns0:v>
      </ns0:c>
      <ns0:c r="G41" s="11">
        <ns0:v>0</ns0:v>
      </ns0:c>
      <ns0:c r="H41" s="11">
        <ns0:v>0</ns0:v>
      </ns0:c>
      <ns0:c r="I41" s="11">
        <ns0:v>0</ns0:v>
      </ns0:c>
      <ns0:c r="J41" s="11">
        <ns0:v>0</ns0:v>
      </ns0:c>
      <ns0:c r="K41" s="11">
        <ns0:v>0</ns0:v>
      </ns0:c>
      <ns0:c r="L41" s="11">
        <ns0:v>0</ns0:v>
      </ns0:c>
      <ns0:c r="M41" s="11">
        <ns0:v>0</ns0:v>
      </ns0:c>
      <ns0:c r="N41" s="8">
        <ns0:f>SUM(B41:M41)</ns0:f>
        <ns0:v>0</ns0:v>
      </ns0:c>
    </ns0:row>
    <ns0:row r="42" spans="1:14" ht="22.05" customHeight="1">
      <ns0:c r="A42" s="14" t="s">
        <ns0:v>17</ns0:v>
      </ns0:c>
      <ns0:c r="B42" s="15">
        <ns0:f t="shared" ref="B42:M42" si="7">B37+B40-B41</ns0:f>
        <ns0:v>225000</ns0:v>
      </ns0:c>
      <ns0:c r="C42" s="15">
        <ns0:f t="shared" si="7"/>
        <ns0:v>525000</ns0:v>
      </ns0:c>
      <ns0:c r="D42" s="15">
        <ns0:f t="shared" si="7"/>
        <ns0:v>750000</ns0:v>
      </ns0:c>
      <ns0:c r="E42" s="15">
        <ns0:f t="shared" si="7"/>
        <ns0:v>1050000</ns0:v>
      </ns0:c>
      <ns0:c r="F42" s="15">
        <ns0:f t="shared" si="7"/>
        <ns0:v>1275000</ns0:v>
      </ns0:c>
      <ns0:c r="G42" s="15">
        <ns0:f t="shared" si="7"/>
        <ns0:v>1425000</ns0:v>
      </ns0:c>
      <ns0:c r="H42" s="15">
        <ns0:f t="shared" si="7"/>
        <ns0:v>1416000</ns0:v>
      </ns0:c>
      <ns0:c r="I42" s="15">
        <ns0:f t="shared" si="7"/>
        <ns0:v>1614000</ns0:v>
      </ns0:c>
      <ns0:c r="J42" s="15">
        <ns0:f t="shared" si="7"/>
        <ns0:v>1954500</ns0:v>
      </ns0:c>
      <ns0:c r="K42" s="15">
        <ns0:f t="shared" si="7"/>
        <ns0:v>2218500</ns0:v>
      </ns0:c>
      <ns0:c r="L42" s="15">
        <ns0:f t="shared" si="7"/>
        <ns0:v>2670000</ns0:v>
      </ns0:c>
      <ns0:c r="M42" s="15">
        <ns0:f t="shared" si="7"/>
        <ns0:v>3000000</ns0:v>
      </ns0:c>
      <ns0:c r="N42" s="15">
        <ns0:f>SUM(B42:M42)</ns0:f>
        <ns0:v>18123000</ns0:v>
      </ns0:c>
    </ns0:row>
    <ns0:row r="43" spans="1:14" ht="22.05" customHeight="1">
      <ns0:c r="A43" s="12" t="s">
        <ns0:v>18</ns0:v>
      </ns0:c>
      <ns0:c r="B43" s="11">
        <ns0:v>0</ns0:v>
      </ns0:c>
      <ns0:c r="C43" s="11">
        <ns0:v>0</ns0:v>
      </ns0:c>
      <ns0:c r="D43" s="11">
        <ns0:v>0</ns0:v>
      </ns0:c>
      <ns0:c r="E43" s="11">
        <ns0:v>0</ns0:v>
      </ns0:c>
      <ns0:c r="F43" s="11">
        <ns0:v>0</ns0:v>
      </ns0:c>
      <ns0:c r="G43" s="11">
        <ns0:v>0</ns0:v>
      </ns0:c>
      <ns0:c r="H43" s="11">
        <ns0:v>0</ns0:v>
      </ns0:c>
      <ns0:c r="I43" s="11">
        <ns0:v>0</ns0:v>
      </ns0:c>
      <ns0:c r="J43" s="11">
        <ns0:v>0</ns0:v>
      </ns0:c>
      <ns0:c r="K43" s="11">
        <ns0:v>0</ns0:v>
      </ns0:c>
      <ns0:c r="L43" s="11">
        <ns0:v>0</ns0:v>
      </ns0:c>
      <ns0:c r="M43" s="11">
        <ns0:v>0</ns0:v>
      </ns0:c>
      <ns0:c r="N43" s="8">
        <ns0:f>SUM(B43:M43)</ns0:f>
        <ns0:v>0</ns0:v>
      </ns0:c>
    </ns0:row>
    <ns0:row r="44" spans="1:14" ht="22.05" customHeight="1">
      <ns0:c r="A44" s="1"/>
      <ns0:c r="B44" s="2"/>
      <ns0:c r="C44" s="2"/>
      <ns0:c r="D44" s="2"/>
      <ns0:c r="E44" s="2"/>
      <ns0:c r="F44" s="2"/>
      <ns0:c r="G44" s="2"/>
      <ns0:c r="H44" s="2"/>
      <ns0:c r="I44" s="2"/>
      <ns0:c r="J44" s="2"/>
      <ns0:c r="K44" s="2"/>
      <ns0:c r="L44" s="2"/>
      <ns0:c r="M44" s="2"/>
      <ns0:c r="N44" s="8"/>
    </ns0:row>
    <ns0:row r="45" spans="1:14" ht="22.05" customHeight="1">
      <ns0:c r="A45" s="16" t="s">
        <ns0:v>19</ns0:v>
      </ns0:c>
      <ns0:c r="B45" s="17">
        <ns0:f t="shared" ref="B45:M45" si="8">B42-B43</ns0:f>
        <ns0:v>225000</ns0:v>
      </ns0:c>
      <ns0:c r="C45" s="17">
        <ns0:f t="shared" si="8"/>
        <ns0:v>525000</ns0:v>
      </ns0:c>
      <ns0:c r="D45" s="17">
        <ns0:f t="shared" si="8"/>
        <ns0:v>750000</ns0:v>
      </ns0:c>
      <ns0:c r="E45" s="17">
        <ns0:f t="shared" si="8"/>
        <ns0:v>1050000</ns0:v>
      </ns0:c>
      <ns0:c r="F45" s="17">
        <ns0:f t="shared" si="8"/>
        <ns0:v>1275000</ns0:v>
      </ns0:c>
      <ns0:c r="G45" s="17">
        <ns0:f t="shared" si="8"/>
        <ns0:v>1425000</ns0:v>
      </ns0:c>
      <ns0:c r="H45" s="17">
        <ns0:f t="shared" si="8"/>
        <ns0:v>1416000</ns0:v>
      </ns0:c>
      <ns0:c r="I45" s="17">
        <ns0:f t="shared" si="8"/>
        <ns0:v>1614000</ns0:v>
      </ns0:c>
      <ns0:c r="J45" s="17">
        <ns0:f t="shared" si="8"/>
        <ns0:v>1954500</ns0:v>
      </ns0:c>
      <ns0:c r="K45" s="17">
        <ns0:f t="shared" si="8"/>
        <ns0:v>2218500</ns0:v>
      </ns0:c>
      <ns0:c r="L45" s="17">
        <ns0:f t="shared" si="8"/>
        <ns0:v>2670000</ns0:v>
      </ns0:c>
      <ns0:c r="M45" s="17">
        <ns0:f t="shared" si="8"/>
        <ns0:v>3000000</ns0:v>
      </ns0:c>
      <ns0:c r="N45" s="17">
        <ns0:f>SUM(B45:M45)</ns0:f>
        <ns0:v>18123000</ns0:v>
      </ns0:c>
    </ns0:row>
    <ns0:row r="46" spans="1:14" ht="22.05" customHeight="1">
      <ns0:c r="A46" s="18" t="s">
        <ns0:v>20</ns0:v>
      </ns0:c>
      <ns0:c r="B46" s="19">
        <ns0:f t="shared" ref="B46:N46" si="9">IF(B12=0,"n.a.",B45/B12)</ns0:f>
        <ns0:v>1.0</ns0:v>
      </ns0:c>
      <ns0:c r="C46" s="19">
        <ns0:f t="shared" si="9"/>
        <ns0:v>1.0</ns0:v>
      </ns0:c>
      <ns0:c r="D46" s="19">
        <ns0:f t="shared" si="9"/>
        <ns0:v>1.0</ns0:v>
      </ns0:c>
      <ns0:c r="E46" s="19">
        <ns0:f t="shared" si="9"/>
        <ns0:v>1.0</ns0:v>
      </ns0:c>
      <ns0:c r="F46" s="19">
        <ns0:f t="shared" si="9"/>
        <ns0:v>1.0</ns0:v>
      </ns0:c>
      <ns0:c r="G46" s="19">
        <ns0:f t="shared" si="9"/>
        <ns0:v>1.0</ns0:v>
      </ns0:c>
      <ns0:c r="H46" s="19">
        <ns0:f t="shared" si="9"/>
        <ns0:v>0.7867</ns0:v>
      </ns0:c>
      <ns0:c r="I46" s="19">
        <ns0:f t="shared" si="9"/>
        <ns0:v>0.797</ns0:v>
      </ns0:c>
      <ns0:c r="J46" s="19">
        <ns0:f t="shared" si="9"/>
        <ns0:v>0.8144</ns0:v>
      </ns0:c>
      <ns0:c r="K46" s="19">
        <ns0:f t="shared" si="9"/>
        <ns0:v>0.8217</ns0:v>
      </ns0:c>
      <ns0:c r="L46" s="19">
        <ns0:f t="shared" si="9"/>
        <ns0:v>0.8279</ns0:v>
      </ns0:c>
      <ns0:c r="M46" s="19">
        <ns0:f t="shared" si="9"/>
        <ns0:v>0.8333</ns0:v>
      </ns0:c>
      <ns0:c r="N46" s="20">
        <ns0:f t="shared" si="9"/>
        <ns0:v>0.863</ns0:v>
      </ns0:c>
    </ns0:row>
    <ns0:row r="47" spans="1:14" ht="22.05" customHeight="1">
      <ns0:c r="A47" s="1"/>
      <ns0:c r="B47" s="2"/>
      <ns0:c r="C47" s="2"/>
      <ns0:c r="D47" s="2"/>
      <ns0:c r="E47" s="2"/>
      <ns0:c r="F47" s="2"/>
      <ns0:c r="G47" s="2"/>
      <ns0:c r="H47" s="2"/>
      <ns0:c r="I47" s="2"/>
      <ns0:c r="J47" s="2"/>
      <ns0:c r="K47" s="2"/>
      <ns0:c r="L47" s="2"/>
      <ns0:c r="M47" s="2"/>
      <ns0:c r="N47" s="8"/>
    </ns0:row>
    <ns0:row r="48" spans="1:14" ht="22.05" customHeight="1">
      <ns0:c r="A48" s="10" t="s">
        <ns0:v>49</ns0:v>
      </ns0:c>
      <ns0:c r="B48" s="21"/>
      <ns0:c r="C48" s="21"/>
      <ns0:c r="D48" s="21"/>
      <ns0:c r="E48" s="21"/>
      <ns0:c r="F48" s="21"/>
      <ns0:c r="G48" s="21"/>
      <ns0:c r="H48" s="21"/>
      <ns0:c r="I48" s="21"/>
      <ns0:c r="J48" s="21"/>
      <ns0:c r="K48" s="21"/>
      <ns0:c r="L48" s="21"/>
      <ns0:c r="M48" s="21"/>
      <ns0:c r="N48" s="22"/>
    </ns0:row>
    <ns0:row r="49" spans="1:14" ht="22.05" customHeight="1">
      <ns0:c r="A49" s="10" t="s">
        <ns0:v>50</ns0:v>
      </ns0:c>
      <ns0:c r="B49" s="21"/>
      <ns0:c r="C49" s="21"/>
      <ns0:c r="D49" s="21"/>
      <ns0:c r="E49" s="21"/>
      <ns0:c r="F49" s="21"/>
      <ns0:c r="G49" s="21"/>
      <ns0:c r="H49" s="21"/>
      <ns0:c r="I49" s="21"/>
      <ns0:c r="J49" s="21"/>
      <ns0:c r="K49" s="21"/>
      <ns0:c r="L49" s="21"/>
      <ns0:c r="M49" s="21"/>
      <ns0:c r="N49" s="22"/>
    </ns0:row>
    <ns0:row r="50" spans="1:14" ht="22.05" customHeight="1">
      <ns0:c r="A50" s="10" t="s">
        <ns0:v>51</ns0:v>
      </ns0:c>
      <ns0:c r="B50" s="21"/>
      <ns0:c r="C50" s="21"/>
      <ns0:c r="D50" s="21"/>
      <ns0:c r="E50" s="21"/>
      <ns0:c r="F50" s="21"/>
      <ns0:c r="G50" s="21"/>
      <ns0:c r="H50" s="21"/>
      <ns0:c r="I50" s="21"/>
      <ns0:c r="J50" s="21"/>
      <ns0:c r="K50" s="21"/>
      <ns0:c r="L50" s="21"/>
      <ns0:c r="M50" s="21"/>
      <ns0:c r="N50" s="22"/>
    </ns0:row>
    <ns0:row r="51" spans="1:14" ht="22.05" customHeight="1">
      <ns0:c r="A51" s="10" t="s">
        <ns0:v>52</ns0:v>
      </ns0:c>
      <ns0:c r="B51" s="21"/>
      <ns0:c r="C51" s="21"/>
      <ns0:c r="D51" s="21"/>
      <ns0:c r="E51" s="21"/>
      <ns0:c r="F51" s="21"/>
      <ns0:c r="G51" s="21"/>
      <ns0:c r="H51" s="21"/>
      <ns0:c r="I51" s="21"/>
      <ns0:c r="J51" s="21"/>
      <ns0:c r="K51" s="21"/>
      <ns0:c r="L51" s="21"/>
      <ns0:c r="M51" s="21"/>
      <ns0:c r="N51" s="22"/>
    </ns0:row>
    <ns0:row r="52" spans="1:14" ht="22.05" customHeight="1">
      <ns0:c r="A52" s="1"/>
      <ns0:c r="B52" s="2"/>
      <ns0:c r="C52" s="2"/>
      <ns0:c r="D52" s="2"/>
      <ns0:c r="E52" s="2"/>
      <ns0:c r="F52" s="2"/>
      <ns0:c r="G52" s="2"/>
      <ns0:c r="H52" s="2"/>
      <ns0:c r="I52" s="2"/>
      <ns0:c r="J52" s="2"/>
      <ns0:c r="K52" s="2"/>
      <ns0:c r="L52" s="2"/>
      <ns0:c r="M52" s="2"/>
      <ns0:c r="N52" s="8"/>
    </ns0:row>
  </ns0:sheetData>
  <ns0:conditionalFormatting sqref="B21:N21">
    <ns0:cfRule type="cellIs" dxfId="3" priority="1" operator="lessThan">
      <ns0:formula>0</ns0:formula>
    </ns0:cfRule>
  </ns0:conditionalFormatting>
  <ns0:conditionalFormatting sqref="B37:N37">
    <ns0:cfRule type="cellIs" dxfId="2" priority="2" operator="lessThan">
      <ns0:formula>0</ns0:formula>
    </ns0:cfRule>
  </ns0:conditionalFormatting>
  <ns0:conditionalFormatting sqref="B42:N42">
    <ns0:cfRule type="cellIs" dxfId="1" priority="3" operator="lessThan">
      <ns0:formula>0</ns0:formula>
    </ns0:cfRule>
  </ns0:conditionalFormatting>
  <ns0:conditionalFormatting sqref="B45:N45">
    <ns0:cfRule type="cellIs" dxfId="0" priority="4" operator="lessThan">
      <ns0:formula>0</ns0:formula>
    </ns0:cfRule>
  </ns0:conditionalFormatting>
  <ns0:dataValidations count="2">
    <ns0:dataValidation type="list" sqref="H4" ns2:uid="{00000000-0002-0000-0100-000000000000}">
      <ns0:formula1>"Budget,Actual,Forecast"</ns0:formula1>
    </ns0:dataValidation>
    <ns0:dataValidation type="whole" sqref="B4" ns2:uid="{00000000-0002-0000-0100-000001000000}">
      <ns0:formula1>2000</ns0:formula1>
      <ns0:formula2>2100</ns0:formula2>
    </ns0:dataValidation>
  </ns0:dataValidation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Technology</dc:creator>
  <cp:lastModifiedBy>Lord Technology</cp:lastModifiedBy>
  <dcterms:created xsi:type="dcterms:W3CDTF">2026-10-08T09:46:16Z</dcterms:created>
  <dcterms:modified xsi:type="dcterms:W3CDTF">2026-10-08T09:46:16Z</dcterms:modified>
</cp:coreProperties>
</file>