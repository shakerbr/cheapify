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Java\Desktop\AUK Training\Capa\Final\"/>
    </mc:Choice>
  </mc:AlternateContent>
  <xr:revisionPtr revIDLastSave="0" documentId="13_ncr:1_{DE9EDDA9-83CC-4D94-8B16-84A8AC7CC5C2}" xr6:coauthVersionLast="41" xr6:coauthVersionMax="41" xr10:uidLastSave="{00000000-0000-0000-0000-000000000000}"/>
  <bookViews>
    <workbookView xWindow="-108" yWindow="-108" windowWidth="23256" windowHeight="12456" activeTab="1" xr2:uid="{00000000-000D-0000-FFFF-FFFF00000000}"/>
  </bookViews>
  <sheets>
    <sheet name="Inventory" sheetId="1" r:id="rId1"/>
    <sheet name="Stock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2" l="1"/>
  <c r="E12" i="1"/>
  <c r="F12" i="1"/>
  <c r="H311" i="2"/>
  <c r="C311" i="2"/>
  <c r="H310" i="2"/>
  <c r="C310" i="2"/>
  <c r="H309" i="2"/>
  <c r="C309" i="2"/>
  <c r="H308" i="2"/>
  <c r="C308" i="2"/>
  <c r="H307" i="2"/>
  <c r="C307" i="2"/>
  <c r="H306" i="2"/>
  <c r="C306" i="2"/>
  <c r="H305" i="2"/>
  <c r="C305" i="2"/>
  <c r="H304" i="2"/>
  <c r="C304" i="2"/>
  <c r="H303" i="2"/>
  <c r="C303" i="2"/>
  <c r="H302" i="2"/>
  <c r="C302" i="2"/>
  <c r="H301" i="2"/>
  <c r="C301" i="2"/>
  <c r="H300" i="2"/>
  <c r="C300" i="2"/>
  <c r="H299" i="2"/>
  <c r="C299" i="2"/>
  <c r="H298" i="2"/>
  <c r="C298" i="2"/>
  <c r="H297" i="2"/>
  <c r="C297" i="2"/>
  <c r="H296" i="2"/>
  <c r="C296" i="2"/>
  <c r="H295" i="2"/>
  <c r="C295" i="2"/>
  <c r="H294" i="2"/>
  <c r="C294" i="2"/>
  <c r="H293" i="2"/>
  <c r="C293" i="2"/>
  <c r="H292" i="2"/>
  <c r="C292" i="2"/>
  <c r="H291" i="2"/>
  <c r="C291" i="2"/>
  <c r="H290" i="2"/>
  <c r="C290" i="2"/>
  <c r="H289" i="2"/>
  <c r="C289" i="2"/>
  <c r="H288" i="2"/>
  <c r="C288" i="2"/>
  <c r="H287" i="2"/>
  <c r="C287" i="2"/>
  <c r="H286" i="2"/>
  <c r="C286" i="2"/>
  <c r="H285" i="2"/>
  <c r="C285" i="2"/>
  <c r="H284" i="2"/>
  <c r="C284" i="2"/>
  <c r="H283" i="2"/>
  <c r="C283" i="2"/>
  <c r="H282" i="2"/>
  <c r="C282" i="2"/>
  <c r="H281" i="2"/>
  <c r="C281" i="2"/>
  <c r="H280" i="2"/>
  <c r="C280" i="2"/>
  <c r="H279" i="2"/>
  <c r="C279" i="2"/>
  <c r="H278" i="2"/>
  <c r="C278" i="2"/>
  <c r="H277" i="2"/>
  <c r="C277" i="2"/>
  <c r="H276" i="2"/>
  <c r="C276" i="2"/>
  <c r="H275" i="2"/>
  <c r="C275" i="2"/>
  <c r="H274" i="2"/>
  <c r="C274" i="2"/>
  <c r="H273" i="2"/>
  <c r="C273" i="2"/>
  <c r="H272" i="2"/>
  <c r="C272" i="2"/>
  <c r="H271" i="2"/>
  <c r="C271" i="2"/>
  <c r="H270" i="2"/>
  <c r="C270" i="2"/>
  <c r="H269" i="2"/>
  <c r="C269" i="2"/>
  <c r="H268" i="2"/>
  <c r="C268" i="2"/>
  <c r="H267" i="2"/>
  <c r="C267" i="2"/>
  <c r="H266" i="2"/>
  <c r="C266" i="2"/>
  <c r="H265" i="2"/>
  <c r="C265" i="2"/>
  <c r="H264" i="2"/>
  <c r="C264" i="2"/>
  <c r="H263" i="2"/>
  <c r="C263" i="2"/>
  <c r="H262" i="2"/>
  <c r="C262" i="2"/>
  <c r="H261" i="2"/>
  <c r="C261" i="2"/>
  <c r="H260" i="2"/>
  <c r="C260" i="2"/>
  <c r="H259" i="2"/>
  <c r="C259" i="2"/>
  <c r="H258" i="2"/>
  <c r="C258" i="2"/>
  <c r="H257" i="2"/>
  <c r="C257" i="2"/>
  <c r="H256" i="2"/>
  <c r="C256" i="2"/>
  <c r="H255" i="2"/>
  <c r="C255" i="2"/>
  <c r="H254" i="2"/>
  <c r="C254" i="2"/>
  <c r="H253" i="2"/>
  <c r="C253" i="2"/>
  <c r="H252" i="2"/>
  <c r="C252" i="2"/>
  <c r="H251" i="2"/>
  <c r="C251" i="2"/>
  <c r="H250" i="2"/>
  <c r="C250" i="2"/>
  <c r="H249" i="2"/>
  <c r="C249" i="2"/>
  <c r="H248" i="2"/>
  <c r="C248" i="2"/>
  <c r="H247" i="2"/>
  <c r="C247" i="2"/>
  <c r="H246" i="2"/>
  <c r="C246" i="2"/>
  <c r="H245" i="2"/>
  <c r="C245" i="2"/>
  <c r="H244" i="2"/>
  <c r="C244" i="2"/>
  <c r="H243" i="2"/>
  <c r="C243" i="2"/>
  <c r="H242" i="2"/>
  <c r="C242" i="2"/>
  <c r="H241" i="2"/>
  <c r="C241" i="2"/>
  <c r="H240" i="2"/>
  <c r="C240" i="2"/>
  <c r="H239" i="2"/>
  <c r="C239" i="2"/>
  <c r="H238" i="2"/>
  <c r="C238" i="2"/>
  <c r="H237" i="2"/>
  <c r="C237" i="2"/>
  <c r="H236" i="2"/>
  <c r="C236" i="2"/>
  <c r="H235" i="2"/>
  <c r="C235" i="2"/>
  <c r="H234" i="2"/>
  <c r="C234" i="2"/>
  <c r="H233" i="2"/>
  <c r="C233" i="2"/>
  <c r="H232" i="2"/>
  <c r="C232" i="2"/>
  <c r="H231" i="2"/>
  <c r="C231" i="2"/>
  <c r="H230" i="2"/>
  <c r="C230" i="2"/>
  <c r="H229" i="2"/>
  <c r="C229" i="2"/>
  <c r="H228" i="2"/>
  <c r="C228" i="2"/>
  <c r="H227" i="2"/>
  <c r="C227" i="2"/>
  <c r="H226" i="2"/>
  <c r="C226" i="2"/>
  <c r="H225" i="2"/>
  <c r="C225" i="2"/>
  <c r="H224" i="2"/>
  <c r="C224" i="2"/>
  <c r="H223" i="2"/>
  <c r="C223" i="2"/>
  <c r="H222" i="2"/>
  <c r="C222" i="2"/>
  <c r="H221" i="2"/>
  <c r="C221" i="2"/>
  <c r="H220" i="2"/>
  <c r="C220" i="2"/>
  <c r="H219" i="2"/>
  <c r="C219" i="2"/>
  <c r="H218" i="2"/>
  <c r="C218" i="2"/>
  <c r="H217" i="2"/>
  <c r="C217" i="2"/>
  <c r="H216" i="2"/>
  <c r="C216" i="2"/>
  <c r="H215" i="2"/>
  <c r="C215" i="2"/>
  <c r="H214" i="2"/>
  <c r="C214" i="2"/>
  <c r="H213" i="2"/>
  <c r="C213" i="2"/>
  <c r="H212" i="2"/>
  <c r="C212" i="2"/>
  <c r="H211" i="2"/>
  <c r="C211" i="2"/>
  <c r="H210" i="2"/>
  <c r="C210" i="2"/>
  <c r="H209" i="2"/>
  <c r="C209" i="2"/>
  <c r="H208" i="2"/>
  <c r="C208" i="2"/>
  <c r="H207" i="2"/>
  <c r="C207" i="2"/>
  <c r="H206" i="2"/>
  <c r="C206" i="2"/>
  <c r="H205" i="2"/>
  <c r="C205" i="2"/>
  <c r="H204" i="2"/>
  <c r="C204" i="2"/>
  <c r="H203" i="2"/>
  <c r="C203" i="2"/>
  <c r="H202" i="2"/>
  <c r="C202" i="2"/>
  <c r="H201" i="2"/>
  <c r="C201" i="2"/>
  <c r="H200" i="2"/>
  <c r="C200" i="2"/>
  <c r="H199" i="2"/>
  <c r="C199" i="2"/>
  <c r="H198" i="2"/>
  <c r="C198" i="2"/>
  <c r="H197" i="2"/>
  <c r="C197" i="2"/>
  <c r="H196" i="2"/>
  <c r="C196" i="2"/>
  <c r="H195" i="2"/>
  <c r="C195" i="2"/>
  <c r="H194" i="2"/>
  <c r="C194" i="2"/>
  <c r="H193" i="2"/>
  <c r="C193" i="2"/>
  <c r="H192" i="2"/>
  <c r="C192" i="2"/>
  <c r="H191" i="2"/>
  <c r="C191" i="2"/>
  <c r="H190" i="2"/>
  <c r="C190" i="2"/>
  <c r="H189" i="2"/>
  <c r="C189" i="2"/>
  <c r="H188" i="2"/>
  <c r="C188" i="2"/>
  <c r="H187" i="2"/>
  <c r="C187" i="2"/>
  <c r="H186" i="2"/>
  <c r="C186" i="2"/>
  <c r="H185" i="2"/>
  <c r="C185" i="2"/>
  <c r="H184" i="2"/>
  <c r="C184" i="2"/>
  <c r="H183" i="2"/>
  <c r="C183" i="2"/>
  <c r="H182" i="2"/>
  <c r="C182" i="2"/>
  <c r="H181" i="2"/>
  <c r="C181" i="2"/>
  <c r="H180" i="2"/>
  <c r="C180" i="2"/>
  <c r="H179" i="2"/>
  <c r="C179" i="2"/>
  <c r="H178" i="2"/>
  <c r="C178" i="2"/>
  <c r="H177" i="2"/>
  <c r="C177" i="2"/>
  <c r="H176" i="2"/>
  <c r="C176" i="2"/>
  <c r="H175" i="2"/>
  <c r="C175" i="2"/>
  <c r="H174" i="2"/>
  <c r="C174" i="2"/>
  <c r="H173" i="2"/>
  <c r="C173" i="2"/>
  <c r="H172" i="2"/>
  <c r="C172" i="2"/>
  <c r="H171" i="2"/>
  <c r="C171" i="2"/>
  <c r="H170" i="2"/>
  <c r="C170" i="2"/>
  <c r="H169" i="2"/>
  <c r="C169" i="2"/>
  <c r="H168" i="2"/>
  <c r="C168" i="2"/>
  <c r="H167" i="2"/>
  <c r="C167" i="2"/>
  <c r="H166" i="2"/>
  <c r="C166" i="2"/>
  <c r="H165" i="2"/>
  <c r="C165" i="2"/>
  <c r="H164" i="2"/>
  <c r="C164" i="2"/>
  <c r="H163" i="2"/>
  <c r="C163" i="2"/>
  <c r="H162" i="2"/>
  <c r="C162" i="2"/>
  <c r="H161" i="2"/>
  <c r="C161" i="2"/>
  <c r="H160" i="2"/>
  <c r="C160" i="2"/>
  <c r="H159" i="2"/>
  <c r="C159" i="2"/>
  <c r="H158" i="2"/>
  <c r="C158" i="2"/>
  <c r="H157" i="2"/>
  <c r="C157" i="2"/>
  <c r="H156" i="2"/>
  <c r="C156" i="2"/>
  <c r="H155" i="2"/>
  <c r="C155" i="2"/>
  <c r="H154" i="2"/>
  <c r="C154" i="2"/>
  <c r="H153" i="2"/>
  <c r="C153" i="2"/>
  <c r="H152" i="2"/>
  <c r="C152" i="2"/>
  <c r="H151" i="2"/>
  <c r="C151" i="2"/>
  <c r="H150" i="2"/>
  <c r="C150" i="2"/>
  <c r="H149" i="2"/>
  <c r="C149" i="2"/>
  <c r="H148" i="2"/>
  <c r="C148" i="2"/>
  <c r="H147" i="2"/>
  <c r="C147" i="2"/>
  <c r="H146" i="2"/>
  <c r="C146" i="2"/>
  <c r="H145" i="2"/>
  <c r="C145" i="2"/>
  <c r="H144" i="2"/>
  <c r="C144" i="2"/>
  <c r="H143" i="2"/>
  <c r="C143" i="2"/>
  <c r="H142" i="2"/>
  <c r="C142" i="2"/>
  <c r="H141" i="2"/>
  <c r="C141" i="2"/>
  <c r="H140" i="2"/>
  <c r="C140" i="2"/>
  <c r="H139" i="2"/>
  <c r="C139" i="2"/>
  <c r="H138" i="2"/>
  <c r="C138" i="2"/>
  <c r="H137" i="2"/>
  <c r="C137" i="2"/>
  <c r="H136" i="2"/>
  <c r="C136" i="2"/>
  <c r="H135" i="2"/>
  <c r="C135" i="2"/>
  <c r="H134" i="2"/>
  <c r="C134" i="2"/>
  <c r="H133" i="2"/>
  <c r="C133" i="2"/>
  <c r="H132" i="2"/>
  <c r="C132" i="2"/>
  <c r="H131" i="2"/>
  <c r="C131" i="2"/>
  <c r="H130" i="2"/>
  <c r="C130" i="2"/>
  <c r="H129" i="2"/>
  <c r="C129" i="2"/>
  <c r="H128" i="2"/>
  <c r="C128" i="2"/>
  <c r="H127" i="2"/>
  <c r="C127" i="2"/>
  <c r="H126" i="2"/>
  <c r="C126" i="2"/>
  <c r="H125" i="2"/>
  <c r="C125" i="2"/>
  <c r="H124" i="2"/>
  <c r="C124" i="2"/>
  <c r="H123" i="2"/>
  <c r="C123" i="2"/>
  <c r="H122" i="2"/>
  <c r="C122" i="2"/>
  <c r="H121" i="2"/>
  <c r="C121" i="2"/>
  <c r="H120" i="2"/>
  <c r="C120" i="2"/>
  <c r="H119" i="2"/>
  <c r="C119" i="2"/>
  <c r="H118" i="2"/>
  <c r="C118" i="2"/>
  <c r="H117" i="2"/>
  <c r="C117" i="2"/>
  <c r="H116" i="2"/>
  <c r="C116" i="2"/>
  <c r="H115" i="2"/>
  <c r="C115" i="2"/>
  <c r="H114" i="2"/>
  <c r="C114" i="2"/>
  <c r="H113" i="2"/>
  <c r="C113" i="2"/>
  <c r="H112" i="2"/>
  <c r="C112" i="2"/>
  <c r="H111" i="2"/>
  <c r="C111" i="2"/>
  <c r="H110" i="2"/>
  <c r="C110" i="2"/>
  <c r="H109" i="2"/>
  <c r="C109" i="2"/>
  <c r="H108" i="2"/>
  <c r="C108" i="2"/>
  <c r="H107" i="2"/>
  <c r="C107" i="2"/>
  <c r="H106" i="2"/>
  <c r="C106" i="2"/>
  <c r="H105" i="2"/>
  <c r="C105" i="2"/>
  <c r="H104" i="2"/>
  <c r="C104" i="2"/>
  <c r="H103" i="2"/>
  <c r="C103" i="2"/>
  <c r="H102" i="2"/>
  <c r="C102" i="2"/>
  <c r="H101" i="2"/>
  <c r="C101" i="2"/>
  <c r="H100" i="2"/>
  <c r="C100" i="2"/>
  <c r="H99" i="2"/>
  <c r="C99" i="2"/>
  <c r="H98" i="2"/>
  <c r="C98" i="2"/>
  <c r="H97" i="2"/>
  <c r="C97" i="2"/>
  <c r="H96" i="2"/>
  <c r="C96" i="2"/>
  <c r="H95" i="2"/>
  <c r="C95" i="2"/>
  <c r="H94" i="2"/>
  <c r="C94" i="2"/>
  <c r="H93" i="2"/>
  <c r="C93" i="2"/>
  <c r="H92" i="2"/>
  <c r="C92" i="2"/>
  <c r="H91" i="2"/>
  <c r="C91" i="2"/>
  <c r="H90" i="2"/>
  <c r="C90" i="2"/>
  <c r="H89" i="2"/>
  <c r="C89" i="2"/>
  <c r="H88" i="2"/>
  <c r="C88" i="2"/>
  <c r="H87" i="2"/>
  <c r="C87" i="2"/>
  <c r="H86" i="2"/>
  <c r="C86" i="2"/>
  <c r="H85" i="2"/>
  <c r="C85" i="2"/>
  <c r="H84" i="2"/>
  <c r="C84" i="2"/>
  <c r="H83" i="2"/>
  <c r="C83" i="2"/>
  <c r="H82" i="2"/>
  <c r="C82" i="2"/>
  <c r="H81" i="2"/>
  <c r="C81" i="2"/>
  <c r="H80" i="2"/>
  <c r="C80" i="2"/>
  <c r="H79" i="2"/>
  <c r="C79" i="2"/>
  <c r="H78" i="2"/>
  <c r="C78" i="2"/>
  <c r="H77" i="2"/>
  <c r="C77" i="2"/>
  <c r="H76" i="2"/>
  <c r="C76" i="2"/>
  <c r="H75" i="2"/>
  <c r="C75" i="2"/>
  <c r="H74" i="2"/>
  <c r="C74" i="2"/>
  <c r="H73" i="2"/>
  <c r="C73" i="2"/>
  <c r="H72" i="2"/>
  <c r="C72" i="2"/>
  <c r="H71" i="2"/>
  <c r="C71" i="2"/>
  <c r="H70" i="2"/>
  <c r="C70" i="2"/>
  <c r="H69" i="2"/>
  <c r="C69" i="2"/>
  <c r="H68" i="2"/>
  <c r="C68" i="2"/>
  <c r="H67" i="2"/>
  <c r="C67" i="2"/>
  <c r="H66" i="2"/>
  <c r="C66" i="2"/>
  <c r="H65" i="2"/>
  <c r="C65" i="2"/>
  <c r="H64" i="2"/>
  <c r="C64" i="2"/>
  <c r="H63" i="2"/>
  <c r="C63" i="2"/>
  <c r="H62" i="2"/>
  <c r="C62" i="2"/>
  <c r="H61" i="2"/>
  <c r="C61" i="2"/>
  <c r="H60" i="2"/>
  <c r="C60" i="2"/>
  <c r="H59" i="2"/>
  <c r="C59" i="2"/>
  <c r="H58" i="2"/>
  <c r="C58" i="2"/>
  <c r="H57" i="2"/>
  <c r="C57" i="2"/>
  <c r="H56" i="2"/>
  <c r="C56" i="2"/>
  <c r="H55" i="2"/>
  <c r="C55" i="2"/>
  <c r="H54" i="2"/>
  <c r="C54" i="2"/>
  <c r="H53" i="2"/>
  <c r="C53" i="2"/>
  <c r="H52" i="2"/>
  <c r="C52" i="2"/>
  <c r="H51" i="2"/>
  <c r="C51" i="2"/>
  <c r="H50" i="2"/>
  <c r="C50" i="2"/>
  <c r="H49" i="2"/>
  <c r="C49" i="2"/>
  <c r="H48" i="2"/>
  <c r="C48" i="2"/>
  <c r="H47" i="2"/>
  <c r="C47" i="2"/>
  <c r="H46" i="2"/>
  <c r="C46" i="2"/>
  <c r="H45" i="2"/>
  <c r="C45" i="2"/>
  <c r="H44" i="2"/>
  <c r="C44" i="2"/>
  <c r="H43" i="2"/>
  <c r="C43" i="2"/>
  <c r="H42" i="2"/>
  <c r="C42" i="2"/>
  <c r="H41" i="2"/>
  <c r="C41" i="2"/>
  <c r="H40" i="2"/>
  <c r="C40" i="2"/>
  <c r="H39" i="2"/>
  <c r="C39" i="2"/>
  <c r="H38" i="2"/>
  <c r="C38" i="2"/>
  <c r="H37" i="2"/>
  <c r="C37" i="2"/>
  <c r="H36" i="2"/>
  <c r="C36" i="2"/>
  <c r="H35" i="2"/>
  <c r="C35" i="2"/>
  <c r="H34" i="2"/>
  <c r="C34" i="2"/>
  <c r="H33" i="2"/>
  <c r="C33" i="2"/>
  <c r="H32" i="2"/>
  <c r="C32" i="2"/>
  <c r="H31" i="2"/>
  <c r="C31" i="2"/>
  <c r="H30" i="2"/>
  <c r="C30" i="2"/>
  <c r="H29" i="2"/>
  <c r="C29" i="2"/>
  <c r="H28" i="2"/>
  <c r="C28" i="2"/>
  <c r="H27" i="2"/>
  <c r="C27" i="2"/>
  <c r="H26" i="2"/>
  <c r="C26" i="2"/>
  <c r="H25" i="2"/>
  <c r="C25" i="2"/>
  <c r="H24" i="2"/>
  <c r="C24" i="2"/>
  <c r="H23" i="2"/>
  <c r="C23" i="2"/>
  <c r="H22" i="2"/>
  <c r="C22" i="2"/>
  <c r="H21" i="2"/>
  <c r="C21" i="2"/>
  <c r="H20" i="2"/>
  <c r="C20" i="2"/>
  <c r="H19" i="2"/>
  <c r="C19" i="2"/>
  <c r="H18" i="2"/>
  <c r="C18" i="2"/>
  <c r="H17" i="2"/>
  <c r="C17" i="2"/>
  <c r="H16" i="2"/>
  <c r="C16" i="2"/>
  <c r="H15" i="2"/>
  <c r="C15" i="2"/>
  <c r="H14" i="2"/>
  <c r="C14" i="2"/>
  <c r="H13" i="2"/>
  <c r="C13" i="2"/>
  <c r="H12" i="2"/>
  <c r="I61" i="1"/>
  <c r="G61" i="1"/>
  <c r="F61" i="1"/>
  <c r="E61" i="1"/>
  <c r="I60" i="1"/>
  <c r="G60" i="1"/>
  <c r="F60" i="1"/>
  <c r="E60" i="1"/>
  <c r="I59" i="1"/>
  <c r="G59" i="1"/>
  <c r="F59" i="1"/>
  <c r="E59" i="1"/>
  <c r="I58" i="1"/>
  <c r="G58" i="1"/>
  <c r="F58" i="1"/>
  <c r="E58" i="1"/>
  <c r="I57" i="1"/>
  <c r="G57" i="1"/>
  <c r="F57" i="1"/>
  <c r="E57" i="1"/>
  <c r="I56" i="1"/>
  <c r="G56" i="1"/>
  <c r="F56" i="1"/>
  <c r="E56" i="1"/>
  <c r="I55" i="1"/>
  <c r="G55" i="1"/>
  <c r="F55" i="1"/>
  <c r="E55" i="1"/>
  <c r="I54" i="1"/>
  <c r="G54" i="1"/>
  <c r="F54" i="1"/>
  <c r="E54" i="1"/>
  <c r="I53" i="1"/>
  <c r="G53" i="1"/>
  <c r="F53" i="1"/>
  <c r="E53" i="1"/>
  <c r="I52" i="1"/>
  <c r="G52" i="1"/>
  <c r="F52" i="1"/>
  <c r="E52" i="1"/>
  <c r="I51" i="1"/>
  <c r="G51" i="1"/>
  <c r="F51" i="1"/>
  <c r="E51" i="1"/>
  <c r="I50" i="1"/>
  <c r="G50" i="1"/>
  <c r="F50" i="1"/>
  <c r="E50" i="1"/>
  <c r="I49" i="1"/>
  <c r="G49" i="1"/>
  <c r="F49" i="1"/>
  <c r="E49" i="1"/>
  <c r="I48" i="1"/>
  <c r="G48" i="1"/>
  <c r="F48" i="1"/>
  <c r="E48" i="1"/>
  <c r="I47" i="1"/>
  <c r="G47" i="1"/>
  <c r="F47" i="1"/>
  <c r="E47" i="1"/>
  <c r="I46" i="1"/>
  <c r="G46" i="1"/>
  <c r="F46" i="1"/>
  <c r="E46" i="1"/>
  <c r="I45" i="1"/>
  <c r="G45" i="1"/>
  <c r="F45" i="1"/>
  <c r="E45" i="1"/>
  <c r="I44" i="1"/>
  <c r="G44" i="1"/>
  <c r="F44" i="1"/>
  <c r="E44" i="1"/>
  <c r="I43" i="1"/>
  <c r="G43" i="1"/>
  <c r="F43" i="1"/>
  <c r="E43" i="1"/>
  <c r="I42" i="1"/>
  <c r="G42" i="1"/>
  <c r="F42" i="1"/>
  <c r="E42" i="1"/>
  <c r="I41" i="1"/>
  <c r="G41" i="1"/>
  <c r="F41" i="1"/>
  <c r="E41" i="1"/>
  <c r="I40" i="1"/>
  <c r="G40" i="1"/>
  <c r="F40" i="1"/>
  <c r="E40" i="1"/>
  <c r="I39" i="1"/>
  <c r="G39" i="1"/>
  <c r="F39" i="1"/>
  <c r="E39" i="1"/>
  <c r="I38" i="1"/>
  <c r="G38" i="1"/>
  <c r="F38" i="1"/>
  <c r="E38" i="1"/>
  <c r="I37" i="1"/>
  <c r="G37" i="1"/>
  <c r="F37" i="1"/>
  <c r="E37" i="1"/>
  <c r="I36" i="1"/>
  <c r="G36" i="1"/>
  <c r="F36" i="1"/>
  <c r="E36" i="1"/>
  <c r="I35" i="1"/>
  <c r="G35" i="1"/>
  <c r="F35" i="1"/>
  <c r="E35" i="1"/>
  <c r="I34" i="1"/>
  <c r="G34" i="1"/>
  <c r="F34" i="1"/>
  <c r="E34" i="1"/>
  <c r="I33" i="1"/>
  <c r="G33" i="1"/>
  <c r="F33" i="1"/>
  <c r="E33" i="1"/>
  <c r="I32" i="1"/>
  <c r="G32" i="1"/>
  <c r="F32" i="1"/>
  <c r="E32" i="1"/>
  <c r="I31" i="1"/>
  <c r="G31" i="1"/>
  <c r="F31" i="1"/>
  <c r="E31" i="1"/>
  <c r="I30" i="1"/>
  <c r="G30" i="1"/>
  <c r="F30" i="1"/>
  <c r="E30" i="1"/>
  <c r="I29" i="1"/>
  <c r="G29" i="1"/>
  <c r="F29" i="1"/>
  <c r="E29" i="1"/>
  <c r="I28" i="1"/>
  <c r="G28" i="1"/>
  <c r="F28" i="1"/>
  <c r="E28" i="1"/>
  <c r="I27" i="1"/>
  <c r="G27" i="1"/>
  <c r="F27" i="1"/>
  <c r="E27" i="1"/>
  <c r="I26" i="1"/>
  <c r="G26" i="1"/>
  <c r="F26" i="1"/>
  <c r="E26" i="1"/>
  <c r="I25" i="1"/>
  <c r="G25" i="1"/>
  <c r="F25" i="1"/>
  <c r="E25" i="1"/>
  <c r="I24" i="1"/>
  <c r="G24" i="1"/>
  <c r="F24" i="1"/>
  <c r="E24" i="1"/>
  <c r="I23" i="1"/>
  <c r="G23" i="1"/>
  <c r="F23" i="1"/>
  <c r="E23" i="1"/>
  <c r="I22" i="1"/>
  <c r="G22" i="1"/>
  <c r="F22" i="1"/>
  <c r="E22" i="1"/>
  <c r="I21" i="1"/>
  <c r="G21" i="1"/>
  <c r="F21" i="1"/>
  <c r="E21" i="1"/>
  <c r="I20" i="1"/>
  <c r="G20" i="1"/>
  <c r="F20" i="1"/>
  <c r="E20" i="1"/>
  <c r="I19" i="1"/>
  <c r="G19" i="1"/>
  <c r="F19" i="1"/>
  <c r="E19" i="1"/>
  <c r="I18" i="1"/>
  <c r="G18" i="1"/>
  <c r="F18" i="1"/>
  <c r="E18" i="1"/>
  <c r="I17" i="1"/>
  <c r="G17" i="1"/>
  <c r="F17" i="1"/>
  <c r="E17" i="1"/>
  <c r="I16" i="1"/>
  <c r="G16" i="1"/>
  <c r="F16" i="1"/>
  <c r="E16" i="1"/>
  <c r="I15" i="1"/>
  <c r="G15" i="1"/>
  <c r="F15" i="1"/>
  <c r="E15" i="1"/>
  <c r="I14" i="1"/>
  <c r="G14" i="1"/>
  <c r="F14" i="1"/>
  <c r="E14" i="1"/>
  <c r="F13" i="1"/>
  <c r="E13" i="1"/>
  <c r="G13" i="1" l="1"/>
  <c r="I13" i="1" s="1"/>
  <c r="C9" i="1"/>
  <c r="G12" i="1"/>
  <c r="I12" i="1"/>
</calcChain>
</file>

<file path=xl/sharedStrings.xml><?xml version="1.0" encoding="utf-8"?>
<sst xmlns="http://schemas.openxmlformats.org/spreadsheetml/2006/main" count="45" uniqueCount="41">
  <si>
    <t>1. Add each item once below. Enter a unique item code, unit, opening quantity and minimum quantity.</t>
  </si>
  <si>
    <t>2. Record every receipt or issue on Stock Log. Stock in, stock out and current stock calculate automatically.</t>
  </si>
  <si>
    <t>3. Review REORDER and NEGATIVE STOCK alerts. Yellow cells are editable; white calculation cells update automatically.</t>
  </si>
  <si>
    <t>Use one unit per item, such as kg, litre, box or piece. Opening stock is the quantity before your first logged transaction.</t>
  </si>
  <si>
    <t>Capacity: 50 items and 300 transactions. Balances include all logged transactions; enter completed movements only.</t>
  </si>
  <si>
    <t>Log rows needing correction:</t>
  </si>
  <si>
    <t>Correct flagged rows before relying on balances.</t>
  </si>
  <si>
    <t>Item code</t>
  </si>
  <si>
    <t>Item name</t>
  </si>
  <si>
    <t>Unit</t>
  </si>
  <si>
    <t>Opening stock</t>
  </si>
  <si>
    <t>Stock in</t>
  </si>
  <si>
    <t>Stock out</t>
  </si>
  <si>
    <t>Current stock</t>
  </si>
  <si>
    <t>Minimum stock</t>
  </si>
  <si>
    <t>Status</t>
  </si>
  <si>
    <t>Location / shelf</t>
  </si>
  <si>
    <t>Notes</t>
  </si>
  <si>
    <t>Daily stock log</t>
  </si>
  <si>
    <t>Enter one completed stock movement per row. Select the item code, choose IN or OUT and enter a positive quantity.</t>
  </si>
  <si>
    <t>IN = purchases, customer returns or stock increases. OUT = sales, usage, damage or supplier returns.</t>
  </si>
  <si>
    <t>Use the same unit as Inventory. Add a document reference and describe returns, damage or count adjustments in Notes.</t>
  </si>
  <si>
    <t>Example only: 06-Oct-2026 | COF001 | Coffee beans | IN | 5 | Invoice 001 | Purchased 5 kg.</t>
  </si>
  <si>
    <t>Register the item on Inventory first. Do not log opening stock again. Do not change an item code after logging it.</t>
  </si>
  <si>
    <t>Row check identifies incomplete entries and unknown codes. Correct every row showing a message other than OK.</t>
  </si>
  <si>
    <t>Date</t>
  </si>
  <si>
    <t>Item name (auto)</t>
  </si>
  <si>
    <t>IN / OUT</t>
  </si>
  <si>
    <t>Quantity</t>
  </si>
  <si>
    <t>Reference / invoice</t>
  </si>
  <si>
    <t>Row check</t>
  </si>
  <si>
    <t>IN</t>
  </si>
  <si>
    <t>Sugar</t>
  </si>
  <si>
    <t>store</t>
  </si>
  <si>
    <t>A1</t>
  </si>
  <si>
    <t>inventory tracker</t>
  </si>
  <si>
    <t>KG</t>
  </si>
  <si>
    <t>A2</t>
  </si>
  <si>
    <t>Flour</t>
  </si>
  <si>
    <t>kg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</si>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</sst>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;\(#,##0.##\);0"/>
    <numFmt numFmtId="165" formatCode="dd\-mmm\-yyyy"/>
    <numFmt numFmtId="166" formatCode="#,##0.##"/>
  </numFmts>
  <fonts count="5">
    <font>
      <sz val="11"/>
      <name val="Carlito"/>
    </font>
    <font>
      <sz val="11"/>
      <color rgb="FF222222"/>
      <name val="Arial"/>
    </font>
    <font>
      <b/>
      <sz val="16"/>
      <color rgb="FF203864"/>
      <name val="Arial"/>
    </font>
    <font>
      <b/>
      <sz val="11"/>
      <color rgb="FFFFFFFF"/>
      <name val="Arial"/>
    </font>
    <font>
      <sz val="11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65" fontId="4" fillId="3" borderId="0" xfId="0" applyNumberFormat="1" applyFont="1" applyFill="1" applyBorder="1" applyAlignment="1">
      <alignment vertical="center"/>
    </xf>
    <xf numFmtId="166" fontId="4" fillId="3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6">
    <dxf>
      <font>
        <color rgb="FFC00000"/>
      </font>
      <fill>
        <patternFill patternType="solid">
          <bgColor rgb="FFFCE4D6"/>
        </patternFill>
      </fill>
    </dxf>
    <dxf>
      <font>
        <b/>
        <color rgb="FFC00000"/>
      </font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showGridLines="0" topLeftCell="A4" zoomScale="70" zoomScaleNormal="70" workbookViewId="0">
      <selection activeCell="B28" sqref="B28"/>
    </sheetView>
  </sheetViews>
  <sheetFormatPr defaultRowHeight="13.8"/>
  <cols>
    <col min="1" max="1" width="16" customWidth="1"/>
    <col min="2" max="2" width="27" customWidth="1"/>
    <col min="3" max="3" width="13" customWidth="1"/>
    <col min="4" max="6" width="16" customWidth="1"/>
    <col min="7" max="8" width="17" customWidth="1"/>
    <col min="9" max="9" width="24" customWidth="1"/>
    <col min="10" max="10" width="22" customWidth="1"/>
    <col min="11" max="11" width="30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>
      <c r="A2" s="2" t="s">
        <v>35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1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>
      <c r="A8" s="1" t="s">
        <v>4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 t="s">
        <v>5</v>
      </c>
      <c r="B9" s="1"/>
      <c r="C9" s="1">
        <f>COUNTIFS('Stock Log'!$H$12:$H$311,"COMPLETE ENTRY")+COUNTIFS('Stock Log'!$H$12:$H$311,"CHECK ITEM CODE")+COUNTIFS('Stock Log'!$H$12:$H$311,"CHECK DATE")+COUNTIFS('Stock Log'!$H$12:$H$311,"USE IN OR OUT")+COUNTIFS('Stock Log'!$H$12:$H$311,"POSITIVE QTY NEEDED")</f>
        <v>1</v>
      </c>
      <c r="D9" s="1"/>
      <c r="E9" s="1" t="s">
        <v>6</v>
      </c>
      <c r="F9" s="1"/>
      <c r="G9" s="1"/>
      <c r="H9" s="1"/>
      <c r="I9" s="1"/>
      <c r="J9" s="1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4.950000000000003" customHeight="1">
      <c r="A11" s="3" t="s">
        <v>7</v>
      </c>
      <c r="B11" s="3" t="s">
        <v>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13</v>
      </c>
      <c r="H11" s="3" t="s">
        <v>14</v>
      </c>
      <c r="I11" s="3" t="s">
        <v>15</v>
      </c>
      <c r="J11" s="3" t="s">
        <v>16</v>
      </c>
      <c r="K11" s="3" t="s">
        <v>17</v>
      </c>
    </row>
    <row r="12" spans="1:11" ht="24" customHeight="1">
      <c r="A12" s="4" t="s">
        <v>34</v>
      </c>
      <c r="B12" s="4" t="s">
        <v>32</v>
      </c>
      <c r="C12" s="4" t="s">
        <v>36</v>
      </c>
      <c r="D12" s="5">
        <v>2</v>
      </c>
      <c r="E12" s="6">
        <f>IF(A12="","",SUMIFS('Stock Log'!$E$12:$E$311,'Stock Log'!$B$12:$B$311,A12,'Stock Log'!$D$12:$D$311,"IN"))</f>
        <v>0</v>
      </c>
      <c r="F12" s="6">
        <f>IF(A12="","",SUMIFS('Stock Log'!$E$12:$E$311,'Stock Log'!$B$12:$B$311,A12,'Stock Log'!$D$12:$D$311,"OUT"))</f>
        <v>0</v>
      </c>
      <c r="G12" s="6">
        <f>IF(OR(A12="",D12=""),"",D12+E12-F12)</f>
        <v>2</v>
      </c>
      <c r="H12" s="5">
        <v>3</v>
      </c>
      <c r="I12" s="1" t="str">
        <f t="shared" ref="I12:I43" si="0">IF(A12="","",IF(COUNTIFS($A$12:$A$61,A12)&gt;1,"DUPLICATE CODE",IF(OR(B12="",C12="",D12="",H12=""),"COMPLETE SETUP",IF(G12&lt;0,"NEGATIVE STOCK",IF(G12&lt;=H12,"REORDER","OK")))))</f>
        <v>REORDER</v>
      </c>
      <c r="J12" s="4" t="s">
        <v>33</v>
      </c>
      <c r="K12" s="4"/>
    </row>
    <row r="13" spans="1:11" ht="24" customHeight="1">
      <c r="A13" s="4" t="s">
        <v>37</v>
      </c>
      <c r="B13" s="4" t="s">
        <v>38</v>
      </c>
      <c r="C13" s="4" t="s">
        <v>39</v>
      </c>
      <c r="D13" s="5">
        <v>3</v>
      </c>
      <c r="E13" s="6">
        <f>IF(A13="","",SUMIFS('Stock Log'!$E$12:$E$311,'Stock Log'!$B$12:$B$311,A13,'Stock Log'!$D$12:$D$311,"IN"))</f>
        <v>0</v>
      </c>
      <c r="F13" s="6">
        <f>IF(A13="","",SUMIFS('Stock Log'!$E$12:$E$311,'Stock Log'!$B$12:$B$311,A13,'Stock Log'!$D$12:$D$311,"OUT"))</f>
        <v>2</v>
      </c>
      <c r="G13" s="6">
        <f t="shared" ref="G13:G43" si="1">IF(OR(A13="",D13=""),"",D13+E13-F13)</f>
        <v>1</v>
      </c>
      <c r="H13" s="5">
        <v>2</v>
      </c>
      <c r="I13" s="1" t="str">
        <f t="shared" si="0"/>
        <v>REORDER</v>
      </c>
      <c r="J13" s="4"/>
      <c r="K13" s="4"/>
    </row>
    <row r="14" spans="1:11" ht="24" customHeight="1">
      <c r="A14" s="4"/>
      <c r="B14" s="4"/>
      <c r="C14" s="4"/>
      <c r="D14" s="5"/>
      <c r="E14" s="6" t="str">
        <f>IF(A14="","",SUMIFS('Stock Log'!$E$12:$E$311,'Stock Log'!$B$12:$B$311,A14,'Stock Log'!$D$12:$D$311,"IN"))</f>
        <v/>
      </c>
      <c r="F14" s="6" t="str">
        <f>IF(A14="","",SUMIFS('Stock Log'!$E$12:$E$311,'Stock Log'!$B$12:$B$311,A14,'Stock Log'!$D$12:$D$311,"OUT"))</f>
        <v/>
      </c>
      <c r="G14" s="6" t="str">
        <f t="shared" si="1"/>
        <v/>
      </c>
      <c r="H14" s="5"/>
      <c r="I14" s="1" t="str">
        <f t="shared" si="0"/>
        <v/>
      </c>
      <c r="J14" s="4"/>
      <c r="K14" s="4"/>
    </row>
    <row r="15" spans="1:11" ht="24" customHeight="1">
      <c r="A15" s="4"/>
      <c r="B15" s="4"/>
      <c r="C15" s="4"/>
      <c r="D15" s="5"/>
      <c r="E15" s="6" t="str">
        <f>IF(A15="","",SUMIFS('Stock Log'!$E$12:$E$311,'Stock Log'!$B$12:$B$311,A15,'Stock Log'!$D$12:$D$311,"IN"))</f>
        <v/>
      </c>
      <c r="F15" s="6" t="str">
        <f>IF(A15="","",SUMIFS('Stock Log'!$E$12:$E$311,'Stock Log'!$B$12:$B$311,A15,'Stock Log'!$D$12:$D$311,"OUT"))</f>
        <v/>
      </c>
      <c r="G15" s="6" t="str">
        <f t="shared" si="1"/>
        <v/>
      </c>
      <c r="H15" s="5"/>
      <c r="I15" s="1" t="str">
        <f t="shared" si="0"/>
        <v/>
      </c>
      <c r="J15" s="4"/>
      <c r="K15" s="4"/>
    </row>
    <row r="16" spans="1:11" ht="24" customHeight="1">
      <c r="A16" s="4"/>
      <c r="B16" s="4"/>
      <c r="C16" s="4"/>
      <c r="D16" s="5"/>
      <c r="E16" s="6" t="str">
        <f>IF(A16="","",SUMIFS('Stock Log'!$E$12:$E$311,'Stock Log'!$B$12:$B$311,A16,'Stock Log'!$D$12:$D$311,"IN"))</f>
        <v/>
      </c>
      <c r="F16" s="6" t="str">
        <f>IF(A16="","",SUMIFS('Stock Log'!$E$12:$E$311,'Stock Log'!$B$12:$B$311,A16,'Stock Log'!$D$12:$D$311,"OUT"))</f>
        <v/>
      </c>
      <c r="G16" s="6" t="str">
        <f t="shared" si="1"/>
        <v/>
      </c>
      <c r="H16" s="5"/>
      <c r="I16" s="1" t="str">
        <f t="shared" si="0"/>
        <v/>
      </c>
      <c r="J16" s="4"/>
      <c r="K16" s="4"/>
    </row>
    <row r="17" spans="1:11" ht="24" customHeight="1">
      <c r="A17" s="4"/>
      <c r="B17" s="4"/>
      <c r="C17" s="4"/>
      <c r="D17" s="5"/>
      <c r="E17" s="6" t="str">
        <f>IF(A17="","",SUMIFS('Stock Log'!$E$12:$E$311,'Stock Log'!$B$12:$B$311,A17,'Stock Log'!$D$12:$D$311,"IN"))</f>
        <v/>
      </c>
      <c r="F17" s="6" t="str">
        <f>IF(A17="","",SUMIFS('Stock Log'!$E$12:$E$311,'Stock Log'!$B$12:$B$311,A17,'Stock Log'!$D$12:$D$311,"OUT"))</f>
        <v/>
      </c>
      <c r="G17" s="6" t="str">
        <f t="shared" si="1"/>
        <v/>
      </c>
      <c r="H17" s="5"/>
      <c r="I17" s="1" t="str">
        <f t="shared" si="0"/>
        <v/>
      </c>
      <c r="J17" s="4"/>
      <c r="K17" s="4"/>
    </row>
    <row r="18" spans="1:11" ht="24" customHeight="1">
      <c r="A18" s="4"/>
      <c r="B18" s="4"/>
      <c r="C18" s="4"/>
      <c r="D18" s="5"/>
      <c r="E18" s="6" t="str">
        <f>IF(A18="","",SUMIFS('Stock Log'!$E$12:$E$311,'Stock Log'!$B$12:$B$311,A18,'Stock Log'!$D$12:$D$311,"IN"))</f>
        <v/>
      </c>
      <c r="F18" s="6" t="str">
        <f>IF(A18="","",SUMIFS('Stock Log'!$E$12:$E$311,'Stock Log'!$B$12:$B$311,A18,'Stock Log'!$D$12:$D$311,"OUT"))</f>
        <v/>
      </c>
      <c r="G18" s="6" t="str">
        <f t="shared" si="1"/>
        <v/>
      </c>
      <c r="H18" s="5"/>
      <c r="I18" s="1" t="str">
        <f t="shared" si="0"/>
        <v/>
      </c>
      <c r="J18" s="4"/>
      <c r="K18" s="4"/>
    </row>
    <row r="19" spans="1:11" ht="24" customHeight="1">
      <c r="A19" s="4"/>
      <c r="B19" s="4"/>
      <c r="C19" s="4"/>
      <c r="D19" s="5"/>
      <c r="E19" s="6" t="str">
        <f>IF(A19="","",SUMIFS('Stock Log'!$E$12:$E$311,'Stock Log'!$B$12:$B$311,A19,'Stock Log'!$D$12:$D$311,"IN"))</f>
        <v/>
      </c>
      <c r="F19" s="6" t="str">
        <f>IF(A19="","",SUMIFS('Stock Log'!$E$12:$E$311,'Stock Log'!$B$12:$B$311,A19,'Stock Log'!$D$12:$D$311,"OUT"))</f>
        <v/>
      </c>
      <c r="G19" s="6" t="str">
        <f t="shared" si="1"/>
        <v/>
      </c>
      <c r="H19" s="5"/>
      <c r="I19" s="1" t="str">
        <f t="shared" si="0"/>
        <v/>
      </c>
      <c r="J19" s="4"/>
      <c r="K19" s="4"/>
    </row>
    <row r="20" spans="1:11" ht="24" customHeight="1">
      <c r="A20" s="4"/>
      <c r="B20" s="4"/>
      <c r="C20" s="4"/>
      <c r="D20" s="5"/>
      <c r="E20" s="6" t="str">
        <f>IF(A20="","",SUMIFS('Stock Log'!$E$12:$E$311,'Stock Log'!$B$12:$B$311,A20,'Stock Log'!$D$12:$D$311,"IN"))</f>
        <v/>
      </c>
      <c r="F20" s="6" t="str">
        <f>IF(A20="","",SUMIFS('Stock Log'!$E$12:$E$311,'Stock Log'!$B$12:$B$311,A20,'Stock Log'!$D$12:$D$311,"OUT"))</f>
        <v/>
      </c>
      <c r="G20" s="6" t="str">
        <f t="shared" si="1"/>
        <v/>
      </c>
      <c r="H20" s="5"/>
      <c r="I20" s="1" t="str">
        <f t="shared" si="0"/>
        <v/>
      </c>
      <c r="J20" s="4"/>
      <c r="K20" s="4"/>
    </row>
    <row r="21" spans="1:11" ht="24" customHeight="1">
      <c r="A21" s="4"/>
      <c r="B21" s="4"/>
      <c r="C21" s="4"/>
      <c r="D21" s="5"/>
      <c r="E21" s="6" t="str">
        <f>IF(A21="","",SUMIFS('Stock Log'!$E$12:$E$311,'Stock Log'!$B$12:$B$311,A21,'Stock Log'!$D$12:$D$311,"IN"))</f>
        <v/>
      </c>
      <c r="F21" s="6" t="str">
        <f>IF(A21="","",SUMIFS('Stock Log'!$E$12:$E$311,'Stock Log'!$B$12:$B$311,A21,'Stock Log'!$D$12:$D$311,"OUT"))</f>
        <v/>
      </c>
      <c r="G21" s="6" t="str">
        <f t="shared" si="1"/>
        <v/>
      </c>
      <c r="H21" s="5"/>
      <c r="I21" s="1" t="str">
        <f t="shared" si="0"/>
        <v/>
      </c>
      <c r="J21" s="4"/>
      <c r="K21" s="4"/>
    </row>
    <row r="22" spans="1:11" ht="24" customHeight="1">
      <c r="A22" s="4"/>
      <c r="B22" s="4"/>
      <c r="C22" s="4"/>
      <c r="D22" s="5"/>
      <c r="E22" s="6" t="str">
        <f>IF(A22="","",SUMIFS('Stock Log'!$E$12:$E$311,'Stock Log'!$B$12:$B$311,A22,'Stock Log'!$D$12:$D$311,"IN"))</f>
        <v/>
      </c>
      <c r="F22" s="6" t="str">
        <f>IF(A22="","",SUMIFS('Stock Log'!$E$12:$E$311,'Stock Log'!$B$12:$B$311,A22,'Stock Log'!$D$12:$D$311,"OUT"))</f>
        <v/>
      </c>
      <c r="G22" s="6" t="str">
        <f t="shared" si="1"/>
        <v/>
      </c>
      <c r="H22" s="5"/>
      <c r="I22" s="1" t="str">
        <f t="shared" si="0"/>
        <v/>
      </c>
      <c r="J22" s="4"/>
      <c r="K22" s="4"/>
    </row>
    <row r="23" spans="1:11" ht="24" customHeight="1">
      <c r="A23" s="4"/>
      <c r="B23" s="4"/>
      <c r="C23" s="4"/>
      <c r="D23" s="5"/>
      <c r="E23" s="6" t="str">
        <f>IF(A23="","",SUMIFS('Stock Log'!$E$12:$E$311,'Stock Log'!$B$12:$B$311,A23,'Stock Log'!$D$12:$D$311,"IN"))</f>
        <v/>
      </c>
      <c r="F23" s="6" t="str">
        <f>IF(A23="","",SUMIFS('Stock Log'!$E$12:$E$311,'Stock Log'!$B$12:$B$311,A23,'Stock Log'!$D$12:$D$311,"OUT"))</f>
        <v/>
      </c>
      <c r="G23" s="6" t="str">
        <f t="shared" si="1"/>
        <v/>
      </c>
      <c r="H23" s="5"/>
      <c r="I23" s="1" t="str">
        <f t="shared" si="0"/>
        <v/>
      </c>
      <c r="J23" s="4"/>
      <c r="K23" s="4"/>
    </row>
    <row r="24" spans="1:11" ht="24" customHeight="1">
      <c r="A24" s="4"/>
      <c r="B24" s="4"/>
      <c r="C24" s="4"/>
      <c r="D24" s="5"/>
      <c r="E24" s="6" t="str">
        <f>IF(A24="","",SUMIFS('Stock Log'!$E$12:$E$311,'Stock Log'!$B$12:$B$311,A24,'Stock Log'!$D$12:$D$311,"IN"))</f>
        <v/>
      </c>
      <c r="F24" s="6" t="str">
        <f>IF(A24="","",SUMIFS('Stock Log'!$E$12:$E$311,'Stock Log'!$B$12:$B$311,A24,'Stock Log'!$D$12:$D$311,"OUT"))</f>
        <v/>
      </c>
      <c r="G24" s="6" t="str">
        <f t="shared" si="1"/>
        <v/>
      </c>
      <c r="H24" s="5"/>
      <c r="I24" s="1" t="str">
        <f t="shared" si="0"/>
        <v/>
      </c>
      <c r="J24" s="4"/>
      <c r="K24" s="4"/>
    </row>
    <row r="25" spans="1:11" ht="24" customHeight="1">
      <c r="A25" s="4"/>
      <c r="B25" s="4"/>
      <c r="C25" s="4"/>
      <c r="D25" s="5"/>
      <c r="E25" s="6" t="str">
        <f>IF(A25="","",SUMIFS('Stock Log'!$E$12:$E$311,'Stock Log'!$B$12:$B$311,A25,'Stock Log'!$D$12:$D$311,"IN"))</f>
        <v/>
      </c>
      <c r="F25" s="6" t="str">
        <f>IF(A25="","",SUMIFS('Stock Log'!$E$12:$E$311,'Stock Log'!$B$12:$B$311,A25,'Stock Log'!$D$12:$D$311,"OUT"))</f>
        <v/>
      </c>
      <c r="G25" s="6" t="str">
        <f t="shared" si="1"/>
        <v/>
      </c>
      <c r="H25" s="5"/>
      <c r="I25" s="1" t="str">
        <f t="shared" si="0"/>
        <v/>
      </c>
      <c r="J25" s="4"/>
      <c r="K25" s="4"/>
    </row>
    <row r="26" spans="1:11" ht="24" customHeight="1">
      <c r="A26" s="4"/>
      <c r="B26" s="4"/>
      <c r="C26" s="4"/>
      <c r="D26" s="5"/>
      <c r="E26" s="6" t="str">
        <f>IF(A26="","",SUMIFS('Stock Log'!$E$12:$E$311,'Stock Log'!$B$12:$B$311,A26,'Stock Log'!$D$12:$D$311,"IN"))</f>
        <v/>
      </c>
      <c r="F26" s="6" t="str">
        <f>IF(A26="","",SUMIFS('Stock Log'!$E$12:$E$311,'Stock Log'!$B$12:$B$311,A26,'Stock Log'!$D$12:$D$311,"OUT"))</f>
        <v/>
      </c>
      <c r="G26" s="6" t="str">
        <f t="shared" si="1"/>
        <v/>
      </c>
      <c r="H26" s="5"/>
      <c r="I26" s="1" t="str">
        <f t="shared" si="0"/>
        <v/>
      </c>
      <c r="J26" s="4"/>
      <c r="K26" s="4"/>
    </row>
    <row r="27" spans="1:11" ht="24" customHeight="1">
      <c r="A27" s="4"/>
      <c r="B27" s="4"/>
      <c r="C27" s="4"/>
      <c r="D27" s="5"/>
      <c r="E27" s="6" t="str">
        <f>IF(A27="","",SUMIFS('Stock Log'!$E$12:$E$311,'Stock Log'!$B$12:$B$311,A27,'Stock Log'!$D$12:$D$311,"IN"))</f>
        <v/>
      </c>
      <c r="F27" s="6" t="str">
        <f>IF(A27="","",SUMIFS('Stock Log'!$E$12:$E$311,'Stock Log'!$B$12:$B$311,A27,'Stock Log'!$D$12:$D$311,"OUT"))</f>
        <v/>
      </c>
      <c r="G27" s="6" t="str">
        <f t="shared" si="1"/>
        <v/>
      </c>
      <c r="H27" s="5"/>
      <c r="I27" s="1" t="str">
        <f t="shared" si="0"/>
        <v/>
      </c>
      <c r="J27" s="4"/>
      <c r="K27" s="4"/>
    </row>
    <row r="28" spans="1:11" ht="24" customHeight="1">
      <c r="A28" s="4"/>
      <c r="B28" s="4"/>
      <c r="C28" s="4"/>
      <c r="D28" s="5"/>
      <c r="E28" s="6" t="str">
        <f>IF(A28="","",SUMIFS('Stock Log'!$E$12:$E$311,'Stock Log'!$B$12:$B$311,A28,'Stock Log'!$D$12:$D$311,"IN"))</f>
        <v/>
      </c>
      <c r="F28" s="6" t="str">
        <f>IF(A28="","",SUMIFS('Stock Log'!$E$12:$E$311,'Stock Log'!$B$12:$B$311,A28,'Stock Log'!$D$12:$D$311,"OUT"))</f>
        <v/>
      </c>
      <c r="G28" s="6" t="str">
        <f t="shared" si="1"/>
        <v/>
      </c>
      <c r="H28" s="5"/>
      <c r="I28" s="1" t="str">
        <f t="shared" si="0"/>
        <v/>
      </c>
      <c r="J28" s="4"/>
      <c r="K28" s="4"/>
    </row>
    <row r="29" spans="1:11" ht="24" customHeight="1">
      <c r="A29" s="4"/>
      <c r="B29" s="4"/>
      <c r="C29" s="4"/>
      <c r="D29" s="5"/>
      <c r="E29" s="6" t="str">
        <f>IF(A29="","",SUMIFS('Stock Log'!$E$12:$E$311,'Stock Log'!$B$12:$B$311,A29,'Stock Log'!$D$12:$D$311,"IN"))</f>
        <v/>
      </c>
      <c r="F29" s="6" t="str">
        <f>IF(A29="","",SUMIFS('Stock Log'!$E$12:$E$311,'Stock Log'!$B$12:$B$311,A29,'Stock Log'!$D$12:$D$311,"OUT"))</f>
        <v/>
      </c>
      <c r="G29" s="6" t="str">
        <f t="shared" si="1"/>
        <v/>
      </c>
      <c r="H29" s="5"/>
      <c r="I29" s="1" t="str">
        <f t="shared" si="0"/>
        <v/>
      </c>
      <c r="J29" s="4"/>
      <c r="K29" s="4"/>
    </row>
    <row r="30" spans="1:11" ht="24" customHeight="1">
      <c r="A30" s="4"/>
      <c r="B30" s="4"/>
      <c r="C30" s="4"/>
      <c r="D30" s="5"/>
      <c r="E30" s="6" t="str">
        <f>IF(A30="","",SUMIFS('Stock Log'!$E$12:$E$311,'Stock Log'!$B$12:$B$311,A30,'Stock Log'!$D$12:$D$311,"IN"))</f>
        <v/>
      </c>
      <c r="F30" s="6" t="str">
        <f>IF(A30="","",SUMIFS('Stock Log'!$E$12:$E$311,'Stock Log'!$B$12:$B$311,A30,'Stock Log'!$D$12:$D$311,"OUT"))</f>
        <v/>
      </c>
      <c r="G30" s="6" t="str">
        <f t="shared" si="1"/>
        <v/>
      </c>
      <c r="H30" s="5"/>
      <c r="I30" s="1" t="str">
        <f t="shared" si="0"/>
        <v/>
      </c>
      <c r="J30" s="4"/>
      <c r="K30" s="4"/>
    </row>
    <row r="31" spans="1:11" ht="24" customHeight="1">
      <c r="A31" s="4"/>
      <c r="B31" s="4"/>
      <c r="C31" s="4"/>
      <c r="D31" s="5"/>
      <c r="E31" s="6" t="str">
        <f>IF(A31="","",SUMIFS('Stock Log'!$E$12:$E$311,'Stock Log'!$B$12:$B$311,A31,'Stock Log'!$D$12:$D$311,"IN"))</f>
        <v/>
      </c>
      <c r="F31" s="6" t="str">
        <f>IF(A31="","",SUMIFS('Stock Log'!$E$12:$E$311,'Stock Log'!$B$12:$B$311,A31,'Stock Log'!$D$12:$D$311,"OUT"))</f>
        <v/>
      </c>
      <c r="G31" s="6" t="str">
        <f t="shared" si="1"/>
        <v/>
      </c>
      <c r="H31" s="5"/>
      <c r="I31" s="1" t="str">
        <f t="shared" si="0"/>
        <v/>
      </c>
      <c r="J31" s="4"/>
      <c r="K31" s="4"/>
    </row>
    <row r="32" spans="1:11" ht="24" customHeight="1">
      <c r="A32" s="4"/>
      <c r="B32" s="4"/>
      <c r="C32" s="4"/>
      <c r="D32" s="5"/>
      <c r="E32" s="6" t="str">
        <f>IF(A32="","",SUMIFS('Stock Log'!$E$12:$E$311,'Stock Log'!$B$12:$B$311,A32,'Stock Log'!$D$12:$D$311,"IN"))</f>
        <v/>
      </c>
      <c r="F32" s="6" t="str">
        <f>IF(A32="","",SUMIFS('Stock Log'!$E$12:$E$311,'Stock Log'!$B$12:$B$311,A32,'Stock Log'!$D$12:$D$311,"OUT"))</f>
        <v/>
      </c>
      <c r="G32" s="6" t="str">
        <f t="shared" si="1"/>
        <v/>
      </c>
      <c r="H32" s="5"/>
      <c r="I32" s="1" t="str">
        <f t="shared" si="0"/>
        <v/>
      </c>
      <c r="J32" s="4"/>
      <c r="K32" s="4"/>
    </row>
    <row r="33" spans="1:11" ht="24" customHeight="1">
      <c r="A33" s="4"/>
      <c r="B33" s="4"/>
      <c r="C33" s="4"/>
      <c r="D33" s="5"/>
      <c r="E33" s="6" t="str">
        <f>IF(A33="","",SUMIFS('Stock Log'!$E$12:$E$311,'Stock Log'!$B$12:$B$311,A33,'Stock Log'!$D$12:$D$311,"IN"))</f>
        <v/>
      </c>
      <c r="F33" s="6" t="str">
        <f>IF(A33="","",SUMIFS('Stock Log'!$E$12:$E$311,'Stock Log'!$B$12:$B$311,A33,'Stock Log'!$D$12:$D$311,"OUT"))</f>
        <v/>
      </c>
      <c r="G33" s="6" t="str">
        <f t="shared" si="1"/>
        <v/>
      </c>
      <c r="H33" s="5"/>
      <c r="I33" s="1" t="str">
        <f t="shared" si="0"/>
        <v/>
      </c>
      <c r="J33" s="4"/>
      <c r="K33" s="4"/>
    </row>
    <row r="34" spans="1:11" ht="24" customHeight="1">
      <c r="A34" s="4"/>
      <c r="B34" s="4"/>
      <c r="C34" s="4"/>
      <c r="D34" s="5"/>
      <c r="E34" s="6" t="str">
        <f>IF(A34="","",SUMIFS('Stock Log'!$E$12:$E$311,'Stock Log'!$B$12:$B$311,A34,'Stock Log'!$D$12:$D$311,"IN"))</f>
        <v/>
      </c>
      <c r="F34" s="6" t="str">
        <f>IF(A34="","",SUMIFS('Stock Log'!$E$12:$E$311,'Stock Log'!$B$12:$B$311,A34,'Stock Log'!$D$12:$D$311,"OUT"))</f>
        <v/>
      </c>
      <c r="G34" s="6" t="str">
        <f t="shared" si="1"/>
        <v/>
      </c>
      <c r="H34" s="5"/>
      <c r="I34" s="1" t="str">
        <f t="shared" si="0"/>
        <v/>
      </c>
      <c r="J34" s="4"/>
      <c r="K34" s="4"/>
    </row>
    <row r="35" spans="1:11" ht="24" customHeight="1">
      <c r="A35" s="4"/>
      <c r="B35" s="4"/>
      <c r="C35" s="4"/>
      <c r="D35" s="5"/>
      <c r="E35" s="6" t="str">
        <f>IF(A35="","",SUMIFS('Stock Log'!$E$12:$E$311,'Stock Log'!$B$12:$B$311,A35,'Stock Log'!$D$12:$D$311,"IN"))</f>
        <v/>
      </c>
      <c r="F35" s="6" t="str">
        <f>IF(A35="","",SUMIFS('Stock Log'!$E$12:$E$311,'Stock Log'!$B$12:$B$311,A35,'Stock Log'!$D$12:$D$311,"OUT"))</f>
        <v/>
      </c>
      <c r="G35" s="6" t="str">
        <f t="shared" si="1"/>
        <v/>
      </c>
      <c r="H35" s="5"/>
      <c r="I35" s="1" t="str">
        <f t="shared" si="0"/>
        <v/>
      </c>
      <c r="J35" s="4"/>
      <c r="K35" s="4"/>
    </row>
    <row r="36" spans="1:11" ht="24" customHeight="1">
      <c r="A36" s="4"/>
      <c r="B36" s="4"/>
      <c r="C36" s="4"/>
      <c r="D36" s="5"/>
      <c r="E36" s="6" t="str">
        <f>IF(A36="","",SUMIFS('Stock Log'!$E$12:$E$311,'Stock Log'!$B$12:$B$311,A36,'Stock Log'!$D$12:$D$311,"IN"))</f>
        <v/>
      </c>
      <c r="F36" s="6" t="str">
        <f>IF(A36="","",SUMIFS('Stock Log'!$E$12:$E$311,'Stock Log'!$B$12:$B$311,A36,'Stock Log'!$D$12:$D$311,"OUT"))</f>
        <v/>
      </c>
      <c r="G36" s="6" t="str">
        <f t="shared" si="1"/>
        <v/>
      </c>
      <c r="H36" s="5"/>
      <c r="I36" s="1" t="str">
        <f t="shared" si="0"/>
        <v/>
      </c>
      <c r="J36" s="4"/>
      <c r="K36" s="4"/>
    </row>
    <row r="37" spans="1:11" ht="24" customHeight="1">
      <c r="A37" s="4"/>
      <c r="B37" s="4"/>
      <c r="C37" s="4"/>
      <c r="D37" s="5"/>
      <c r="E37" s="6" t="str">
        <f>IF(A37="","",SUMIFS('Stock Log'!$E$12:$E$311,'Stock Log'!$B$12:$B$311,A37,'Stock Log'!$D$12:$D$311,"IN"))</f>
        <v/>
      </c>
      <c r="F37" s="6" t="str">
        <f>IF(A37="","",SUMIFS('Stock Log'!$E$12:$E$311,'Stock Log'!$B$12:$B$311,A37,'Stock Log'!$D$12:$D$311,"OUT"))</f>
        <v/>
      </c>
      <c r="G37" s="6" t="str">
        <f t="shared" si="1"/>
        <v/>
      </c>
      <c r="H37" s="5"/>
      <c r="I37" s="1" t="str">
        <f t="shared" si="0"/>
        <v/>
      </c>
      <c r="J37" s="4"/>
      <c r="K37" s="4"/>
    </row>
    <row r="38" spans="1:11" ht="24" customHeight="1">
      <c r="A38" s="4"/>
      <c r="B38" s="4"/>
      <c r="C38" s="4"/>
      <c r="D38" s="5"/>
      <c r="E38" s="6" t="str">
        <f>IF(A38="","",SUMIFS('Stock Log'!$E$12:$E$311,'Stock Log'!$B$12:$B$311,A38,'Stock Log'!$D$12:$D$311,"IN"))</f>
        <v/>
      </c>
      <c r="F38" s="6" t="str">
        <f>IF(A38="","",SUMIFS('Stock Log'!$E$12:$E$311,'Stock Log'!$B$12:$B$311,A38,'Stock Log'!$D$12:$D$311,"OUT"))</f>
        <v/>
      </c>
      <c r="G38" s="6" t="str">
        <f t="shared" si="1"/>
        <v/>
      </c>
      <c r="H38" s="5"/>
      <c r="I38" s="1" t="str">
        <f t="shared" si="0"/>
        <v/>
      </c>
      <c r="J38" s="4"/>
      <c r="K38" s="4"/>
    </row>
    <row r="39" spans="1:11" ht="24" customHeight="1">
      <c r="A39" s="4"/>
      <c r="B39" s="4"/>
      <c r="C39" s="4"/>
      <c r="D39" s="5"/>
      <c r="E39" s="6" t="str">
        <f>IF(A39="","",SUMIFS('Stock Log'!$E$12:$E$311,'Stock Log'!$B$12:$B$311,A39,'Stock Log'!$D$12:$D$311,"IN"))</f>
        <v/>
      </c>
      <c r="F39" s="6" t="str">
        <f>IF(A39="","",SUMIFS('Stock Log'!$E$12:$E$311,'Stock Log'!$B$12:$B$311,A39,'Stock Log'!$D$12:$D$311,"OUT"))</f>
        <v/>
      </c>
      <c r="G39" s="6" t="str">
        <f t="shared" si="1"/>
        <v/>
      </c>
      <c r="H39" s="5"/>
      <c r="I39" s="1" t="str">
        <f t="shared" si="0"/>
        <v/>
      </c>
      <c r="J39" s="4"/>
      <c r="K39" s="4"/>
    </row>
    <row r="40" spans="1:11" ht="24" customHeight="1">
      <c r="A40" s="4"/>
      <c r="B40" s="4"/>
      <c r="C40" s="4"/>
      <c r="D40" s="5"/>
      <c r="E40" s="6" t="str">
        <f>IF(A40="","",SUMIFS('Stock Log'!$E$12:$E$311,'Stock Log'!$B$12:$B$311,A40,'Stock Log'!$D$12:$D$311,"IN"))</f>
        <v/>
      </c>
      <c r="F40" s="6" t="str">
        <f>IF(A40="","",SUMIFS('Stock Log'!$E$12:$E$311,'Stock Log'!$B$12:$B$311,A40,'Stock Log'!$D$12:$D$311,"OUT"))</f>
        <v/>
      </c>
      <c r="G40" s="6" t="str">
        <f t="shared" si="1"/>
        <v/>
      </c>
      <c r="H40" s="5"/>
      <c r="I40" s="1" t="str">
        <f t="shared" si="0"/>
        <v/>
      </c>
      <c r="J40" s="4"/>
      <c r="K40" s="4"/>
    </row>
    <row r="41" spans="1:11" ht="24" customHeight="1">
      <c r="A41" s="4"/>
      <c r="B41" s="4"/>
      <c r="C41" s="4"/>
      <c r="D41" s="5"/>
      <c r="E41" s="6" t="str">
        <f>IF(A41="","",SUMIFS('Stock Log'!$E$12:$E$311,'Stock Log'!$B$12:$B$311,A41,'Stock Log'!$D$12:$D$311,"IN"))</f>
        <v/>
      </c>
      <c r="F41" s="6" t="str">
        <f>IF(A41="","",SUMIFS('Stock Log'!$E$12:$E$311,'Stock Log'!$B$12:$B$311,A41,'Stock Log'!$D$12:$D$311,"OUT"))</f>
        <v/>
      </c>
      <c r="G41" s="6" t="str">
        <f t="shared" si="1"/>
        <v/>
      </c>
      <c r="H41" s="5"/>
      <c r="I41" s="1" t="str">
        <f t="shared" si="0"/>
        <v/>
      </c>
      <c r="J41" s="4"/>
      <c r="K41" s="4"/>
    </row>
    <row r="42" spans="1:11" ht="24" customHeight="1">
      <c r="A42" s="4"/>
      <c r="B42" s="4"/>
      <c r="C42" s="4"/>
      <c r="D42" s="5"/>
      <c r="E42" s="6" t="str">
        <f>IF(A42="","",SUMIFS('Stock Log'!$E$12:$E$311,'Stock Log'!$B$12:$B$311,A42,'Stock Log'!$D$12:$D$311,"IN"))</f>
        <v/>
      </c>
      <c r="F42" s="6" t="str">
        <f>IF(A42="","",SUMIFS('Stock Log'!$E$12:$E$311,'Stock Log'!$B$12:$B$311,A42,'Stock Log'!$D$12:$D$311,"OUT"))</f>
        <v/>
      </c>
      <c r="G42" s="6" t="str">
        <f t="shared" si="1"/>
        <v/>
      </c>
      <c r="H42" s="5"/>
      <c r="I42" s="1" t="str">
        <f t="shared" si="0"/>
        <v/>
      </c>
      <c r="J42" s="4"/>
      <c r="K42" s="4"/>
    </row>
    <row r="43" spans="1:11" ht="24" customHeight="1">
      <c r="A43" s="4"/>
      <c r="B43" s="4"/>
      <c r="C43" s="4"/>
      <c r="D43" s="5"/>
      <c r="E43" s="6" t="str">
        <f>IF(A43="","",SUMIFS('Stock Log'!$E$12:$E$311,'Stock Log'!$B$12:$B$311,A43,'Stock Log'!$D$12:$D$311,"IN"))</f>
        <v/>
      </c>
      <c r="F43" s="6" t="str">
        <f>IF(A43="","",SUMIFS('Stock Log'!$E$12:$E$311,'Stock Log'!$B$12:$B$311,A43,'Stock Log'!$D$12:$D$311,"OUT"))</f>
        <v/>
      </c>
      <c r="G43" s="6" t="str">
        <f t="shared" si="1"/>
        <v/>
      </c>
      <c r="H43" s="5"/>
      <c r="I43" s="1" t="str">
        <f t="shared" si="0"/>
        <v/>
      </c>
      <c r="J43" s="4"/>
      <c r="K43" s="4"/>
    </row>
    <row r="44" spans="1:11" ht="24" customHeight="1">
      <c r="A44" s="4"/>
      <c r="B44" s="4"/>
      <c r="C44" s="4"/>
      <c r="D44" s="5"/>
      <c r="E44" s="6" t="str">
        <f>IF(A44="","",SUMIFS('Stock Log'!$E$12:$E$311,'Stock Log'!$B$12:$B$311,A44,'Stock Log'!$D$12:$D$311,"IN"))</f>
        <v/>
      </c>
      <c r="F44" s="6" t="str">
        <f>IF(A44="","",SUMIFS('Stock Log'!$E$12:$E$311,'Stock Log'!$B$12:$B$311,A44,'Stock Log'!$D$12:$D$311,"OUT"))</f>
        <v/>
      </c>
      <c r="G44" s="6" t="str">
        <f t="shared" ref="G44:G61" si="2">IF(OR(A44="",D44=""),"",D44+E44-F44)</f>
        <v/>
      </c>
      <c r="H44" s="5"/>
      <c r="I44" s="1" t="str">
        <f t="shared" ref="I44:I61" si="3">IF(A44="","",IF(COUNTIFS($A$12:$A$61,A44)&gt;1,"DUPLICATE CODE",IF(OR(B44="",C44="",D44="",H44=""),"COMPLETE SETUP",IF(G44&lt;0,"NEGATIVE STOCK",IF(G44&lt;=H44,"REORDER","OK")))))</f>
        <v/>
      </c>
      <c r="J44" s="4"/>
      <c r="K44" s="4"/>
    </row>
    <row r="45" spans="1:11" ht="24" customHeight="1">
      <c r="A45" s="4"/>
      <c r="B45" s="4"/>
      <c r="C45" s="4"/>
      <c r="D45" s="5"/>
      <c r="E45" s="6" t="str">
        <f>IF(A45="","",SUMIFS('Stock Log'!$E$12:$E$311,'Stock Log'!$B$12:$B$311,A45,'Stock Log'!$D$12:$D$311,"IN"))</f>
        <v/>
      </c>
      <c r="F45" s="6" t="str">
        <f>IF(A45="","",SUMIFS('Stock Log'!$E$12:$E$311,'Stock Log'!$B$12:$B$311,A45,'Stock Log'!$D$12:$D$311,"OUT"))</f>
        <v/>
      </c>
      <c r="G45" s="6" t="str">
        <f t="shared" si="2"/>
        <v/>
      </c>
      <c r="H45" s="5"/>
      <c r="I45" s="1" t="str">
        <f t="shared" si="3"/>
        <v/>
      </c>
      <c r="J45" s="4"/>
      <c r="K45" s="4"/>
    </row>
    <row r="46" spans="1:11" ht="24" customHeight="1">
      <c r="A46" s="4"/>
      <c r="B46" s="4"/>
      <c r="C46" s="4"/>
      <c r="D46" s="5"/>
      <c r="E46" s="6" t="str">
        <f>IF(A46="","",SUMIFS('Stock Log'!$E$12:$E$311,'Stock Log'!$B$12:$B$311,A46,'Stock Log'!$D$12:$D$311,"IN"))</f>
        <v/>
      </c>
      <c r="F46" s="6" t="str">
        <f>IF(A46="","",SUMIFS('Stock Log'!$E$12:$E$311,'Stock Log'!$B$12:$B$311,A46,'Stock Log'!$D$12:$D$311,"OUT"))</f>
        <v/>
      </c>
      <c r="G46" s="6" t="str">
        <f t="shared" si="2"/>
        <v/>
      </c>
      <c r="H46" s="5"/>
      <c r="I46" s="1" t="str">
        <f t="shared" si="3"/>
        <v/>
      </c>
      <c r="J46" s="4"/>
      <c r="K46" s="4"/>
    </row>
    <row r="47" spans="1:11" ht="24" customHeight="1">
      <c r="A47" s="4"/>
      <c r="B47" s="4"/>
      <c r="C47" s="4"/>
      <c r="D47" s="5"/>
      <c r="E47" s="6" t="str">
        <f>IF(A47="","",SUMIFS('Stock Log'!$E$12:$E$311,'Stock Log'!$B$12:$B$311,A47,'Stock Log'!$D$12:$D$311,"IN"))</f>
        <v/>
      </c>
      <c r="F47" s="6" t="str">
        <f>IF(A47="","",SUMIFS('Stock Log'!$E$12:$E$311,'Stock Log'!$B$12:$B$311,A47,'Stock Log'!$D$12:$D$311,"OUT"))</f>
        <v/>
      </c>
      <c r="G47" s="6" t="str">
        <f t="shared" si="2"/>
        <v/>
      </c>
      <c r="H47" s="5"/>
      <c r="I47" s="1" t="str">
        <f t="shared" si="3"/>
        <v/>
      </c>
      <c r="J47" s="4"/>
      <c r="K47" s="4"/>
    </row>
    <row r="48" spans="1:11" ht="24" customHeight="1">
      <c r="A48" s="4"/>
      <c r="B48" s="4"/>
      <c r="C48" s="4"/>
      <c r="D48" s="5"/>
      <c r="E48" s="6" t="str">
        <f>IF(A48="","",SUMIFS('Stock Log'!$E$12:$E$311,'Stock Log'!$B$12:$B$311,A48,'Stock Log'!$D$12:$D$311,"IN"))</f>
        <v/>
      </c>
      <c r="F48" s="6" t="str">
        <f>IF(A48="","",SUMIFS('Stock Log'!$E$12:$E$311,'Stock Log'!$B$12:$B$311,A48,'Stock Log'!$D$12:$D$311,"OUT"))</f>
        <v/>
      </c>
      <c r="G48" s="6" t="str">
        <f t="shared" si="2"/>
        <v/>
      </c>
      <c r="H48" s="5"/>
      <c r="I48" s="1" t="str">
        <f t="shared" si="3"/>
        <v/>
      </c>
      <c r="J48" s="4"/>
      <c r="K48" s="4"/>
    </row>
    <row r="49" spans="1:11" ht="24" customHeight="1">
      <c r="A49" s="4"/>
      <c r="B49" s="4"/>
      <c r="C49" s="4"/>
      <c r="D49" s="5"/>
      <c r="E49" s="6" t="str">
        <f>IF(A49="","",SUMIFS('Stock Log'!$E$12:$E$311,'Stock Log'!$B$12:$B$311,A49,'Stock Log'!$D$12:$D$311,"IN"))</f>
        <v/>
      </c>
      <c r="F49" s="6" t="str">
        <f>IF(A49="","",SUMIFS('Stock Log'!$E$12:$E$311,'Stock Log'!$B$12:$B$311,A49,'Stock Log'!$D$12:$D$311,"OUT"))</f>
        <v/>
      </c>
      <c r="G49" s="6" t="str">
        <f t="shared" si="2"/>
        <v/>
      </c>
      <c r="H49" s="5"/>
      <c r="I49" s="1" t="str">
        <f t="shared" si="3"/>
        <v/>
      </c>
      <c r="J49" s="4"/>
      <c r="K49" s="4"/>
    </row>
    <row r="50" spans="1:11" ht="24" customHeight="1">
      <c r="A50" s="4"/>
      <c r="B50" s="4"/>
      <c r="C50" s="4"/>
      <c r="D50" s="5"/>
      <c r="E50" s="6" t="str">
        <f>IF(A50="","",SUMIFS('Stock Log'!$E$12:$E$311,'Stock Log'!$B$12:$B$311,A50,'Stock Log'!$D$12:$D$311,"IN"))</f>
        <v/>
      </c>
      <c r="F50" s="6" t="str">
        <f>IF(A50="","",SUMIFS('Stock Log'!$E$12:$E$311,'Stock Log'!$B$12:$B$311,A50,'Stock Log'!$D$12:$D$311,"OUT"))</f>
        <v/>
      </c>
      <c r="G50" s="6" t="str">
        <f t="shared" si="2"/>
        <v/>
      </c>
      <c r="H50" s="5"/>
      <c r="I50" s="1" t="str">
        <f t="shared" si="3"/>
        <v/>
      </c>
      <c r="J50" s="4"/>
      <c r="K50" s="4"/>
    </row>
    <row r="51" spans="1:11" ht="24" customHeight="1">
      <c r="A51" s="4"/>
      <c r="B51" s="4"/>
      <c r="C51" s="4"/>
      <c r="D51" s="5"/>
      <c r="E51" s="6" t="str">
        <f>IF(A51="","",SUMIFS('Stock Log'!$E$12:$E$311,'Stock Log'!$B$12:$B$311,A51,'Stock Log'!$D$12:$D$311,"IN"))</f>
        <v/>
      </c>
      <c r="F51" s="6" t="str">
        <f>IF(A51="","",SUMIFS('Stock Log'!$E$12:$E$311,'Stock Log'!$B$12:$B$311,A51,'Stock Log'!$D$12:$D$311,"OUT"))</f>
        <v/>
      </c>
      <c r="G51" s="6" t="str">
        <f t="shared" si="2"/>
        <v/>
      </c>
      <c r="H51" s="5"/>
      <c r="I51" s="1" t="str">
        <f t="shared" si="3"/>
        <v/>
      </c>
      <c r="J51" s="4"/>
      <c r="K51" s="4"/>
    </row>
    <row r="52" spans="1:11" ht="24" customHeight="1">
      <c r="A52" s="4"/>
      <c r="B52" s="4"/>
      <c r="C52" s="4"/>
      <c r="D52" s="5"/>
      <c r="E52" s="6" t="str">
        <f>IF(A52="","",SUMIFS('Stock Log'!$E$12:$E$311,'Stock Log'!$B$12:$B$311,A52,'Stock Log'!$D$12:$D$311,"IN"))</f>
        <v/>
      </c>
      <c r="F52" s="6" t="str">
        <f>IF(A52="","",SUMIFS('Stock Log'!$E$12:$E$311,'Stock Log'!$B$12:$B$311,A52,'Stock Log'!$D$12:$D$311,"OUT"))</f>
        <v/>
      </c>
      <c r="G52" s="6" t="str">
        <f t="shared" si="2"/>
        <v/>
      </c>
      <c r="H52" s="5"/>
      <c r="I52" s="1" t="str">
        <f t="shared" si="3"/>
        <v/>
      </c>
      <c r="J52" s="4"/>
      <c r="K52" s="4"/>
    </row>
    <row r="53" spans="1:11" ht="24" customHeight="1">
      <c r="A53" s="4"/>
      <c r="B53" s="4"/>
      <c r="C53" s="4"/>
      <c r="D53" s="5"/>
      <c r="E53" s="6" t="str">
        <f>IF(A53="","",SUMIFS('Stock Log'!$E$12:$E$311,'Stock Log'!$B$12:$B$311,A53,'Stock Log'!$D$12:$D$311,"IN"))</f>
        <v/>
      </c>
      <c r="F53" s="6" t="str">
        <f>IF(A53="","",SUMIFS('Stock Log'!$E$12:$E$311,'Stock Log'!$B$12:$B$311,A53,'Stock Log'!$D$12:$D$311,"OUT"))</f>
        <v/>
      </c>
      <c r="G53" s="6" t="str">
        <f t="shared" si="2"/>
        <v/>
      </c>
      <c r="H53" s="5"/>
      <c r="I53" s="1" t="str">
        <f t="shared" si="3"/>
        <v/>
      </c>
      <c r="J53" s="4"/>
      <c r="K53" s="4"/>
    </row>
    <row r="54" spans="1:11" ht="24" customHeight="1">
      <c r="A54" s="4"/>
      <c r="B54" s="4"/>
      <c r="C54" s="4"/>
      <c r="D54" s="5"/>
      <c r="E54" s="6" t="str">
        <f>IF(A54="","",SUMIFS('Stock Log'!$E$12:$E$311,'Stock Log'!$B$12:$B$311,A54,'Stock Log'!$D$12:$D$311,"IN"))</f>
        <v/>
      </c>
      <c r="F54" s="6" t="str">
        <f>IF(A54="","",SUMIFS('Stock Log'!$E$12:$E$311,'Stock Log'!$B$12:$B$311,A54,'Stock Log'!$D$12:$D$311,"OUT"))</f>
        <v/>
      </c>
      <c r="G54" s="6" t="str">
        <f t="shared" si="2"/>
        <v/>
      </c>
      <c r="H54" s="5"/>
      <c r="I54" s="1" t="str">
        <f t="shared" si="3"/>
        <v/>
      </c>
      <c r="J54" s="4"/>
      <c r="K54" s="4"/>
    </row>
    <row r="55" spans="1:11" ht="24" customHeight="1">
      <c r="A55" s="4"/>
      <c r="B55" s="4"/>
      <c r="C55" s="4"/>
      <c r="D55" s="5"/>
      <c r="E55" s="6" t="str">
        <f>IF(A55="","",SUMIFS('Stock Log'!$E$12:$E$311,'Stock Log'!$B$12:$B$311,A55,'Stock Log'!$D$12:$D$311,"IN"))</f>
        <v/>
      </c>
      <c r="F55" s="6" t="str">
        <f>IF(A55="","",SUMIFS('Stock Log'!$E$12:$E$311,'Stock Log'!$B$12:$B$311,A55,'Stock Log'!$D$12:$D$311,"OUT"))</f>
        <v/>
      </c>
      <c r="G55" s="6" t="str">
        <f t="shared" si="2"/>
        <v/>
      </c>
      <c r="H55" s="5"/>
      <c r="I55" s="1" t="str">
        <f t="shared" si="3"/>
        <v/>
      </c>
      <c r="J55" s="4"/>
      <c r="K55" s="4"/>
    </row>
    <row r="56" spans="1:11" ht="24" customHeight="1">
      <c r="A56" s="4"/>
      <c r="B56" s="4"/>
      <c r="C56" s="4"/>
      <c r="D56" s="5"/>
      <c r="E56" s="6" t="str">
        <f>IF(A56="","",SUMIFS('Stock Log'!$E$12:$E$311,'Stock Log'!$B$12:$B$311,A56,'Stock Log'!$D$12:$D$311,"IN"))</f>
        <v/>
      </c>
      <c r="F56" s="6" t="str">
        <f>IF(A56="","",SUMIFS('Stock Log'!$E$12:$E$311,'Stock Log'!$B$12:$B$311,A56,'Stock Log'!$D$12:$D$311,"OUT"))</f>
        <v/>
      </c>
      <c r="G56" s="6" t="str">
        <f t="shared" si="2"/>
        <v/>
      </c>
      <c r="H56" s="5"/>
      <c r="I56" s="1" t="str">
        <f t="shared" si="3"/>
        <v/>
      </c>
      <c r="J56" s="4"/>
      <c r="K56" s="4"/>
    </row>
    <row r="57" spans="1:11" ht="24" customHeight="1">
      <c r="A57" s="4"/>
      <c r="B57" s="4"/>
      <c r="C57" s="4"/>
      <c r="D57" s="5"/>
      <c r="E57" s="6" t="str">
        <f>IF(A57="","",SUMIFS('Stock Log'!$E$12:$E$311,'Stock Log'!$B$12:$B$311,A57,'Stock Log'!$D$12:$D$311,"IN"))</f>
        <v/>
      </c>
      <c r="F57" s="6" t="str">
        <f>IF(A57="","",SUMIFS('Stock Log'!$E$12:$E$311,'Stock Log'!$B$12:$B$311,A57,'Stock Log'!$D$12:$D$311,"OUT"))</f>
        <v/>
      </c>
      <c r="G57" s="6" t="str">
        <f t="shared" si="2"/>
        <v/>
      </c>
      <c r="H57" s="5"/>
      <c r="I57" s="1" t="str">
        <f t="shared" si="3"/>
        <v/>
      </c>
      <c r="J57" s="4"/>
      <c r="K57" s="4"/>
    </row>
    <row r="58" spans="1:11" ht="24" customHeight="1">
      <c r="A58" s="4"/>
      <c r="B58" s="4"/>
      <c r="C58" s="4"/>
      <c r="D58" s="5"/>
      <c r="E58" s="6" t="str">
        <f>IF(A58="","",SUMIFS('Stock Log'!$E$12:$E$311,'Stock Log'!$B$12:$B$311,A58,'Stock Log'!$D$12:$D$311,"IN"))</f>
        <v/>
      </c>
      <c r="F58" s="6" t="str">
        <f>IF(A58="","",SUMIFS('Stock Log'!$E$12:$E$311,'Stock Log'!$B$12:$B$311,A58,'Stock Log'!$D$12:$D$311,"OUT"))</f>
        <v/>
      </c>
      <c r="G58" s="6" t="str">
        <f t="shared" si="2"/>
        <v/>
      </c>
      <c r="H58" s="5"/>
      <c r="I58" s="1" t="str">
        <f t="shared" si="3"/>
        <v/>
      </c>
      <c r="J58" s="4"/>
      <c r="K58" s="4"/>
    </row>
    <row r="59" spans="1:11" ht="24" customHeight="1">
      <c r="A59" s="4"/>
      <c r="B59" s="4"/>
      <c r="C59" s="4"/>
      <c r="D59" s="5"/>
      <c r="E59" s="6" t="str">
        <f>IF(A59="","",SUMIFS('Stock Log'!$E$12:$E$311,'Stock Log'!$B$12:$B$311,A59,'Stock Log'!$D$12:$D$311,"IN"))</f>
        <v/>
      </c>
      <c r="F59" s="6" t="str">
        <f>IF(A59="","",SUMIFS('Stock Log'!$E$12:$E$311,'Stock Log'!$B$12:$B$311,A59,'Stock Log'!$D$12:$D$311,"OUT"))</f>
        <v/>
      </c>
      <c r="G59" s="6" t="str">
        <f t="shared" si="2"/>
        <v/>
      </c>
      <c r="H59" s="5"/>
      <c r="I59" s="1" t="str">
        <f t="shared" si="3"/>
        <v/>
      </c>
      <c r="J59" s="4"/>
      <c r="K59" s="4"/>
    </row>
    <row r="60" spans="1:11" ht="24" customHeight="1">
      <c r="A60" s="4"/>
      <c r="B60" s="4"/>
      <c r="C60" s="4"/>
      <c r="D60" s="5"/>
      <c r="E60" s="6" t="str">
        <f>IF(A60="","",SUMIFS('Stock Log'!$E$12:$E$311,'Stock Log'!$B$12:$B$311,A60,'Stock Log'!$D$12:$D$311,"IN"))</f>
        <v/>
      </c>
      <c r="F60" s="6" t="str">
        <f>IF(A60="","",SUMIFS('Stock Log'!$E$12:$E$311,'Stock Log'!$B$12:$B$311,A60,'Stock Log'!$D$12:$D$311,"OUT"))</f>
        <v/>
      </c>
      <c r="G60" s="6" t="str">
        <f t="shared" si="2"/>
        <v/>
      </c>
      <c r="H60" s="5"/>
      <c r="I60" s="1" t="str">
        <f t="shared" si="3"/>
        <v/>
      </c>
      <c r="J60" s="4"/>
      <c r="K60" s="4"/>
    </row>
    <row r="61" spans="1:11" ht="24" customHeight="1">
      <c r="A61" s="4"/>
      <c r="B61" s="4"/>
      <c r="C61" s="4"/>
      <c r="D61" s="5"/>
      <c r="E61" s="6" t="str">
        <f>IF(A61="","",SUMIFS('Stock Log'!$E$12:$E$311,'Stock Log'!$B$12:$B$311,A61,'Stock Log'!$D$12:$D$311,"IN"))</f>
        <v/>
      </c>
      <c r="F61" s="6" t="str">
        <f>IF(A61="","",SUMIFS('Stock Log'!$E$12:$E$311,'Stock Log'!$B$12:$B$311,A61,'Stock Log'!$D$12:$D$311,"OUT"))</f>
        <v/>
      </c>
      <c r="G61" s="6" t="str">
        <f t="shared" si="2"/>
        <v/>
      </c>
      <c r="H61" s="5"/>
      <c r="I61" s="1" t="str">
        <f t="shared" si="3"/>
        <v/>
      </c>
      <c r="J61" s="4"/>
      <c r="K61" s="4"/>
    </row>
  </sheetData>
  <conditionalFormatting sqref="I12:I61">
    <cfRule type="containsText" dxfId="5" priority="1" operator="containsText" text="NEGATIVE STOCK"/>
    <cfRule type="containsText" dxfId="4" priority="2" operator="containsText" text="DUPLICATE CODE"/>
    <cfRule type="containsText" dxfId="3" priority="3" operator="containsText" text="COMPLETE SETUP"/>
    <cfRule type="containsText" dxfId="2" priority="4" operator="containsText" text="REORDER"/>
  </conditionalFormatting>
  <conditionalFormatting sqref="C9">
    <cfRule type="cellIs" dxfId="1" priority="5" operator="greaterThan">
      <formula>0</formula>
    </cfRule>
  </conditionalFormatting>
  <dataValidations count="1">
    <dataValidation type="decimal" operator="greaterThanOrEqual" sqref="D12:D61 H12:H61" xr:uid="{00000000-0002-0000-0000-000000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1"/>
  <sheetViews>
    <sheetView showGridLines="0" tabSelected="1" topLeftCell="A6" zoomScaleNormal="100" workbookViewId="0">
      <selection activeCell="G13" sqref="G13"/>
    </sheetView>
  </sheetViews>
  <sheetFormatPr defaultRowHeight="13.8"/>
  <cols>
    <col min="1" max="2" width="16" customWidth="1"/>
    <col min="3" max="3" width="27" customWidth="1"/>
    <col min="4" max="4" width="13" customWidth="1"/>
    <col min="5" max="5" width="16" customWidth="1"/>
    <col min="6" max="6" width="23" customWidth="1"/>
    <col min="7" max="7" width="35" customWidth="1"/>
    <col min="8" max="8" width="28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>
      <c r="A2" s="2" t="s">
        <v>18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 t="s">
        <v>19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20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1" t="s">
        <v>21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>
      <c r="A7" s="1" t="s">
        <v>22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>
      <c r="A8" s="1" t="s">
        <v>23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 t="s">
        <v>24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4.950000000000003" customHeight="1">
      <c r="A11" s="3" t="s">
        <v>25</v>
      </c>
      <c r="B11" s="3" t="s">
        <v>7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17</v>
      </c>
      <c r="H11" s="3" t="s">
        <v>30</v>
      </c>
      <c r="I11" s="1"/>
      <c r="J11" s="1"/>
      <c r="K11" s="1"/>
    </row>
    <row r="12" spans="1:11" ht="24" customHeight="1">
      <c r="A12" s="7">
        <v>46302</v>
      </c>
      <c r="B12" s="4" t="s">
        <v>34</v>
      </c>
      <c r="C12" s="1" t="str">
        <f>IF(B12="","",IF(COUNTIFS(Inventory!$A$12:$A$61,B12)=1,VLOOKUP(B12,Inventory!$A$12:$B$61,2,FALSE),"CHECK ITEM CODE"))</f>
        <v>Sugar</v>
      </c>
      <c r="D12" s="4" t="s">
        <v>31</v>
      </c>
      <c r="E12" s="8">
        <v>0</v>
      </c>
      <c r="F12" s="4">
        <v>12345</v>
      </c>
      <c r="G12" s="4"/>
      <c r="H12" s="1" t="str">
        <f>IF(COUNTA(A12:B12,D12:G12)=0,"",IF(OR(A12="",B12="",D12="",E12=""),"COMPLETE ENTRY",IF(COUNTIFS(Inventory!$A$12:$A$61,B12)&lt;&gt;1,"CHECK ITEM CODE",IF(OR(NOT(ISNUMBER(A12)),A12&lt;=0),"CHECK DATE",IF(AND(D12&lt;&gt;"IN",D12&lt;&gt;"OUT"),"USE IN OR OUT",IF(OR(NOT(ISNUMBER(E12)),E12&lt;=0),"POSITIVE QTY NEEDED","OK"))))))</f>
        <v>POSITIVE QTY NEEDED</v>
      </c>
      <c r="I12" s="1"/>
      <c r="J12" s="1"/>
      <c r="K12" s="1"/>
    </row>
    <row r="13" spans="1:11" ht="24" customHeight="1">
      <c r="A13" s="7">
        <v>46302</v>
      </c>
      <c r="B13" s="4" t="s">
        <v>37</v>
      </c>
      <c r="C13" s="1" t="str">
        <f>IF(B13="","",IF(COUNTIFS(Inventory!$A$12:$A$61,B13)=1,VLOOKUP(B13,Inventory!$A$12:$B$61,2,FALSE),"CHECK ITEM CODE"))</f>
        <v>Flour</v>
      </c>
      <c r="D13" s="4" t="s">
        <v>40</v>
      </c>
      <c r="E13" s="8">
        <v>2</v>
      </c>
      <c r="F13" s="4">
        <v>123454</v>
      </c>
      <c r="G13" s="4"/>
      <c r="H13" s="1" t="str">
        <f>IF(COUNTA(A13:B13,D13:G13)=0,"",IF(OR(A13="",B13="",D13="",E13=""),"COMPLETE ENTRY",IF(COUNTIFS(Inventory!$A$12:$A$61,B13)&lt;&gt;1,"CHECK ITEM CODE",IF(OR(NOT(ISNUMBER(A13)),A13&lt;=0),"CHECK DATE",IF(AND(D13&lt;&gt;"IN",D13&lt;&gt;"OUT"),"USE IN OR OUT",IF(OR(NOT(ISNUMBER(E13)),E13&lt;=0),"POSITIVE QTY NEEDED","OK"))))))</f>
        <v>OK</v>
      </c>
      <c r="I13" s="1"/>
      <c r="J13" s="1"/>
      <c r="K13" s="1"/>
    </row>
    <row r="14" spans="1:11" ht="24" customHeight="1">
      <c r="A14" s="7"/>
      <c r="B14" s="4"/>
      <c r="C14" s="1" t="str">
        <f>IF(B14="","",IF(COUNTIFS(Inventory!$A$12:$A$61,B14)=1,VLOOKUP(B14,Inventory!$A$12:$B$61,2,FALSE),"CHECK ITEM CODE"))</f>
        <v/>
      </c>
      <c r="D14" s="4"/>
      <c r="E14" s="8"/>
      <c r="F14" s="4"/>
      <c r="G14" s="4"/>
      <c r="H14" s="1" t="str">
        <f>IF(COUNTA(A14:B14,D14:G14)=0,"",IF(OR(A14="",B14="",D14="",E14=""),"COMPLETE ENTRY",IF(COUNTIFS(Inventory!$A$12:$A$61,B14)&lt;&gt;1,"CHECK ITEM CODE",IF(OR(NOT(ISNUMBER(A14)),A14&lt;=0),"CHECK DATE",IF(AND(D14&lt;&gt;"IN",D14&lt;&gt;"OUT"),"USE IN OR OUT",IF(OR(NOT(ISNUMBER(E14)),E14&lt;=0),"POSITIVE QTY NEEDED","OK"))))))</f>
        <v/>
      </c>
      <c r="I14" s="1"/>
      <c r="J14" s="1"/>
      <c r="K14" s="1"/>
    </row>
    <row r="15" spans="1:11" ht="24" customHeight="1">
      <c r="A15" s="7"/>
      <c r="B15" s="4"/>
      <c r="C15" s="1" t="str">
        <f>IF(B15="","",IF(COUNTIFS(Inventory!$A$12:$A$61,B15)=1,VLOOKUP(B15,Inventory!$A$12:$B$61,2,FALSE),"CHECK ITEM CODE"))</f>
        <v/>
      </c>
      <c r="D15" s="4"/>
      <c r="E15" s="8"/>
      <c r="F15" s="4"/>
      <c r="G15" s="4"/>
      <c r="H15" s="1" t="str">
        <f>IF(COUNTA(A15:B15,D15:G15)=0,"",IF(OR(A15="",B15="",D15="",E15=""),"COMPLETE ENTRY",IF(COUNTIFS(Inventory!$A$12:$A$61,B15)&lt;&gt;1,"CHECK ITEM CODE",IF(OR(NOT(ISNUMBER(A15)),A15&lt;=0),"CHECK DATE",IF(AND(D15&lt;&gt;"IN",D15&lt;&gt;"OUT"),"USE IN OR OUT",IF(OR(NOT(ISNUMBER(E15)),E15&lt;=0),"POSITIVE QTY NEEDED","OK"))))))</f>
        <v/>
      </c>
      <c r="I15" s="1"/>
      <c r="J15" s="1"/>
      <c r="K15" s="1"/>
    </row>
    <row r="16" spans="1:11" ht="24" customHeight="1">
      <c r="A16" s="7"/>
      <c r="B16" s="4"/>
      <c r="C16" s="1" t="str">
        <f>IF(B16="","",IF(COUNTIFS(Inventory!$A$12:$A$61,B16)=1,VLOOKUP(B16,Inventory!$A$12:$B$61,2,FALSE),"CHECK ITEM CODE"))</f>
        <v/>
      </c>
      <c r="D16" s="4"/>
      <c r="E16" s="8"/>
      <c r="F16" s="4"/>
      <c r="G16" s="4"/>
      <c r="H16" s="1" t="str">
        <f>IF(COUNTA(A16:B16,D16:G16)=0,"",IF(OR(A16="",B16="",D16="",E16=""),"COMPLETE ENTRY",IF(COUNTIFS(Inventory!$A$12:$A$61,B16)&lt;&gt;1,"CHECK ITEM CODE",IF(OR(NOT(ISNUMBER(A16)),A16&lt;=0),"CHECK DATE",IF(AND(D16&lt;&gt;"IN",D16&lt;&gt;"OUT"),"USE IN OR OUT",IF(OR(NOT(ISNUMBER(E16)),E16&lt;=0),"POSITIVE QTY NEEDED","OK"))))))</f>
        <v/>
      </c>
      <c r="I16" s="1"/>
      <c r="J16" s="1"/>
      <c r="K16" s="1"/>
    </row>
    <row r="17" spans="1:11" ht="24" customHeight="1">
      <c r="A17" s="7"/>
      <c r="B17" s="4"/>
      <c r="C17" s="1" t="str">
        <f>IF(B17="","",IF(COUNTIFS(Inventory!$A$12:$A$61,B17)=1,VLOOKUP(B17,Inventory!$A$12:$B$61,2,FALSE),"CHECK ITEM CODE"))</f>
        <v/>
      </c>
      <c r="D17" s="4"/>
      <c r="E17" s="8"/>
      <c r="F17" s="4"/>
      <c r="G17" s="4"/>
      <c r="H17" s="1" t="str">
        <f>IF(COUNTA(A17:B17,D17:G17)=0,"",IF(OR(A17="",B17="",D17="",E17=""),"COMPLETE ENTRY",IF(COUNTIFS(Inventory!$A$12:$A$61,B17)&lt;&gt;1,"CHECK ITEM CODE",IF(OR(NOT(ISNUMBER(A17)),A17&lt;=0),"CHECK DATE",IF(AND(D17&lt;&gt;"IN",D17&lt;&gt;"OUT"),"USE IN OR OUT",IF(OR(NOT(ISNUMBER(E17)),E17&lt;=0),"POSITIVE QTY NEEDED","OK"))))))</f>
        <v/>
      </c>
      <c r="I17" s="1"/>
      <c r="J17" s="1"/>
      <c r="K17" s="1"/>
    </row>
    <row r="18" spans="1:11" ht="24" customHeight="1">
      <c r="A18" s="7"/>
      <c r="B18" s="4"/>
      <c r="C18" s="1" t="str">
        <f>IF(B18="","",IF(COUNTIFS(Inventory!$A$12:$A$61,B18)=1,VLOOKUP(B18,Inventory!$A$12:$B$61,2,FALSE),"CHECK ITEM CODE"))</f>
        <v/>
      </c>
      <c r="D18" s="4"/>
      <c r="E18" s="8"/>
      <c r="F18" s="4"/>
      <c r="G18" s="4"/>
      <c r="H18" s="1" t="str">
        <f>IF(COUNTA(A18:B18,D18:G18)=0,"",IF(OR(A18="",B18="",D18="",E18=""),"COMPLETE ENTRY",IF(COUNTIFS(Inventory!$A$12:$A$61,B18)&lt;&gt;1,"CHECK ITEM CODE",IF(OR(NOT(ISNUMBER(A18)),A18&lt;=0),"CHECK DATE",IF(AND(D18&lt;&gt;"IN",D18&lt;&gt;"OUT"),"USE IN OR OUT",IF(OR(NOT(ISNUMBER(E18)),E18&lt;=0),"POSITIVE QTY NEEDED","OK"))))))</f>
        <v/>
      </c>
      <c r="I18" s="1"/>
      <c r="J18" s="1"/>
      <c r="K18" s="1"/>
    </row>
    <row r="19" spans="1:11" ht="24" customHeight="1">
      <c r="A19" s="7"/>
      <c r="B19" s="4"/>
      <c r="C19" s="1" t="str">
        <f>IF(B19="","",IF(COUNTIFS(Inventory!$A$12:$A$61,B19)=1,VLOOKUP(B19,Inventory!$A$12:$B$61,2,FALSE),"CHECK ITEM CODE"))</f>
        <v/>
      </c>
      <c r="D19" s="4"/>
      <c r="E19" s="8"/>
      <c r="F19" s="4"/>
      <c r="G19" s="4"/>
      <c r="H19" s="1" t="str">
        <f>IF(COUNTA(A19:B19,D19:G19)=0,"",IF(OR(A19="",B19="",D19="",E19=""),"COMPLETE ENTRY",IF(COUNTIFS(Inventory!$A$12:$A$61,B19)&lt;&gt;1,"CHECK ITEM CODE",IF(OR(NOT(ISNUMBER(A19)),A19&lt;=0),"CHECK DATE",IF(AND(D19&lt;&gt;"IN",D19&lt;&gt;"OUT"),"USE IN OR OUT",IF(OR(NOT(ISNUMBER(E19)),E19&lt;=0),"POSITIVE QTY NEEDED","OK"))))))</f>
        <v/>
      </c>
      <c r="I19" s="1"/>
      <c r="J19" s="1"/>
      <c r="K19" s="1"/>
    </row>
    <row r="20" spans="1:11" ht="24" customHeight="1">
      <c r="A20" s="7"/>
      <c r="B20" s="4"/>
      <c r="C20" s="1" t="str">
        <f>IF(B20="","",IF(COUNTIFS(Inventory!$A$12:$A$61,B20)=1,VLOOKUP(B20,Inventory!$A$12:$B$61,2,FALSE),"CHECK ITEM CODE"))</f>
        <v/>
      </c>
      <c r="D20" s="4"/>
      <c r="E20" s="8"/>
      <c r="F20" s="4"/>
      <c r="G20" s="4"/>
      <c r="H20" s="1" t="str">
        <f>IF(COUNTA(A20:B20,D20:G20)=0,"",IF(OR(A20="",B20="",D20="",E20=""),"COMPLETE ENTRY",IF(COUNTIFS(Inventory!$A$12:$A$61,B20)&lt;&gt;1,"CHECK ITEM CODE",IF(OR(NOT(ISNUMBER(A20)),A20&lt;=0),"CHECK DATE",IF(AND(D20&lt;&gt;"IN",D20&lt;&gt;"OUT"),"USE IN OR OUT",IF(OR(NOT(ISNUMBER(E20)),E20&lt;=0),"POSITIVE QTY NEEDED","OK"))))))</f>
        <v/>
      </c>
      <c r="I20" s="1"/>
      <c r="J20" s="1"/>
      <c r="K20" s="1"/>
    </row>
    <row r="21" spans="1:11" ht="24" customHeight="1">
      <c r="A21" s="7"/>
      <c r="B21" s="4"/>
      <c r="C21" s="1" t="str">
        <f>IF(B21="","",IF(COUNTIFS(Inventory!$A$12:$A$61,B21)=1,VLOOKUP(B21,Inventory!$A$12:$B$61,2,FALSE),"CHECK ITEM CODE"))</f>
        <v/>
      </c>
      <c r="D21" s="4"/>
      <c r="E21" s="8"/>
      <c r="F21" s="4"/>
      <c r="G21" s="4"/>
      <c r="H21" s="1" t="str">
        <f>IF(COUNTA(A21:B21,D21:G21)=0,"",IF(OR(A21="",B21="",D21="",E21=""),"COMPLETE ENTRY",IF(COUNTIFS(Inventory!$A$12:$A$61,B21)&lt;&gt;1,"CHECK ITEM CODE",IF(OR(NOT(ISNUMBER(A21)),A21&lt;=0),"CHECK DATE",IF(AND(D21&lt;&gt;"IN",D21&lt;&gt;"OUT"),"USE IN OR OUT",IF(OR(NOT(ISNUMBER(E21)),E21&lt;=0),"POSITIVE QTY NEEDED","OK"))))))</f>
        <v/>
      </c>
      <c r="I21" s="1"/>
      <c r="J21" s="1"/>
      <c r="K21" s="1"/>
    </row>
    <row r="22" spans="1:11" ht="24" customHeight="1">
      <c r="A22" s="7"/>
      <c r="B22" s="4"/>
      <c r="C22" s="1" t="str">
        <f>IF(B22="","",IF(COUNTIFS(Inventory!$A$12:$A$61,B22)=1,VLOOKUP(B22,Inventory!$A$12:$B$61,2,FALSE),"CHECK ITEM CODE"))</f>
        <v/>
      </c>
      <c r="D22" s="4"/>
      <c r="E22" s="8"/>
      <c r="F22" s="4"/>
      <c r="G22" s="4"/>
      <c r="H22" s="1" t="str">
        <f>IF(COUNTA(A22:B22,D22:G22)=0,"",IF(OR(A22="",B22="",D22="",E22=""),"COMPLETE ENTRY",IF(COUNTIFS(Inventory!$A$12:$A$61,B22)&lt;&gt;1,"CHECK ITEM CODE",IF(OR(NOT(ISNUMBER(A22)),A22&lt;=0),"CHECK DATE",IF(AND(D22&lt;&gt;"IN",D22&lt;&gt;"OUT"),"USE IN OR OUT",IF(OR(NOT(ISNUMBER(E22)),E22&lt;=0),"POSITIVE QTY NEEDED","OK"))))))</f>
        <v/>
      </c>
      <c r="I22" s="1"/>
      <c r="J22" s="1"/>
      <c r="K22" s="1"/>
    </row>
    <row r="23" spans="1:11" ht="24" customHeight="1">
      <c r="A23" s="7"/>
      <c r="B23" s="4"/>
      <c r="C23" s="1" t="str">
        <f>IF(B23="","",IF(COUNTIFS(Inventory!$A$12:$A$61,B23)=1,VLOOKUP(B23,Inventory!$A$12:$B$61,2,FALSE),"CHECK ITEM CODE"))</f>
        <v/>
      </c>
      <c r="D23" s="4"/>
      <c r="E23" s="8"/>
      <c r="F23" s="4"/>
      <c r="G23" s="4"/>
      <c r="H23" s="1" t="str">
        <f>IF(COUNTA(A23:B23,D23:G23)=0,"",IF(OR(A23="",B23="",D23="",E23=""),"COMPLETE ENTRY",IF(COUNTIFS(Inventory!$A$12:$A$61,B23)&lt;&gt;1,"CHECK ITEM CODE",IF(OR(NOT(ISNUMBER(A23)),A23&lt;=0),"CHECK DATE",IF(AND(D23&lt;&gt;"IN",D23&lt;&gt;"OUT"),"USE IN OR OUT",IF(OR(NOT(ISNUMBER(E23)),E23&lt;=0),"POSITIVE QTY NEEDED","OK"))))))</f>
        <v/>
      </c>
      <c r="I23" s="1"/>
      <c r="J23" s="1"/>
      <c r="K23" s="1"/>
    </row>
    <row r="24" spans="1:11" ht="24" customHeight="1">
      <c r="A24" s="7"/>
      <c r="B24" s="4"/>
      <c r="C24" s="1" t="str">
        <f>IF(B24="","",IF(COUNTIFS(Inventory!$A$12:$A$61,B24)=1,VLOOKUP(B24,Inventory!$A$12:$B$61,2,FALSE),"CHECK ITEM CODE"))</f>
        <v/>
      </c>
      <c r="D24" s="4"/>
      <c r="E24" s="8"/>
      <c r="F24" s="4"/>
      <c r="G24" s="4"/>
      <c r="H24" s="1" t="str">
        <f>IF(COUNTA(A24:B24,D24:G24)=0,"",IF(OR(A24="",B24="",D24="",E24=""),"COMPLETE ENTRY",IF(COUNTIFS(Inventory!$A$12:$A$61,B24)&lt;&gt;1,"CHECK ITEM CODE",IF(OR(NOT(ISNUMBER(A24)),A24&lt;=0),"CHECK DATE",IF(AND(D24&lt;&gt;"IN",D24&lt;&gt;"OUT"),"USE IN OR OUT",IF(OR(NOT(ISNUMBER(E24)),E24&lt;=0),"POSITIVE QTY NEEDED","OK"))))))</f>
        <v/>
      </c>
      <c r="I24" s="1"/>
      <c r="J24" s="1"/>
      <c r="K24" s="1"/>
    </row>
    <row r="25" spans="1:11" ht="24" customHeight="1">
      <c r="A25" s="7"/>
      <c r="B25" s="4"/>
      <c r="C25" s="1" t="str">
        <f>IF(B25="","",IF(COUNTIFS(Inventory!$A$12:$A$61,B25)=1,VLOOKUP(B25,Inventory!$A$12:$B$61,2,FALSE),"CHECK ITEM CODE"))</f>
        <v/>
      </c>
      <c r="D25" s="4"/>
      <c r="E25" s="8"/>
      <c r="F25" s="4"/>
      <c r="G25" s="4"/>
      <c r="H25" s="1" t="str">
        <f>IF(COUNTA(A25:B25,D25:G25)=0,"",IF(OR(A25="",B25="",D25="",E25=""),"COMPLETE ENTRY",IF(COUNTIFS(Inventory!$A$12:$A$61,B25)&lt;&gt;1,"CHECK ITEM CODE",IF(OR(NOT(ISNUMBER(A25)),A25&lt;=0),"CHECK DATE",IF(AND(D25&lt;&gt;"IN",D25&lt;&gt;"OUT"),"USE IN OR OUT",IF(OR(NOT(ISNUMBER(E25)),E25&lt;=0),"POSITIVE QTY NEEDED","OK"))))))</f>
        <v/>
      </c>
      <c r="I25" s="1"/>
      <c r="J25" s="1"/>
      <c r="K25" s="1"/>
    </row>
    <row r="26" spans="1:11" ht="24" customHeight="1">
      <c r="A26" s="7"/>
      <c r="B26" s="4"/>
      <c r="C26" s="1" t="str">
        <f>IF(B26="","",IF(COUNTIFS(Inventory!$A$12:$A$61,B26)=1,VLOOKUP(B26,Inventory!$A$12:$B$61,2,FALSE),"CHECK ITEM CODE"))</f>
        <v/>
      </c>
      <c r="D26" s="4"/>
      <c r="E26" s="8"/>
      <c r="F26" s="4"/>
      <c r="G26" s="4"/>
      <c r="H26" s="1" t="str">
        <f>IF(COUNTA(A26:B26,D26:G26)=0,"",IF(OR(A26="",B26="",D26="",E26=""),"COMPLETE ENTRY",IF(COUNTIFS(Inventory!$A$12:$A$61,B26)&lt;&gt;1,"CHECK ITEM CODE",IF(OR(NOT(ISNUMBER(A26)),A26&lt;=0),"CHECK DATE",IF(AND(D26&lt;&gt;"IN",D26&lt;&gt;"OUT"),"USE IN OR OUT",IF(OR(NOT(ISNUMBER(E26)),E26&lt;=0),"POSITIVE QTY NEEDED","OK"))))))</f>
        <v/>
      </c>
      <c r="I26" s="1"/>
      <c r="J26" s="1"/>
      <c r="K26" s="1"/>
    </row>
    <row r="27" spans="1:11" ht="24" customHeight="1">
      <c r="A27" s="7"/>
      <c r="B27" s="4"/>
      <c r="C27" s="1" t="str">
        <f>IF(B27="","",IF(COUNTIFS(Inventory!$A$12:$A$61,B27)=1,VLOOKUP(B27,Inventory!$A$12:$B$61,2,FALSE),"CHECK ITEM CODE"))</f>
        <v/>
      </c>
      <c r="D27" s="4"/>
      <c r="E27" s="8"/>
      <c r="F27" s="4"/>
      <c r="G27" s="4"/>
      <c r="H27" s="1" t="str">
        <f>IF(COUNTA(A27:B27,D27:G27)=0,"",IF(OR(A27="",B27="",D27="",E27=""),"COMPLETE ENTRY",IF(COUNTIFS(Inventory!$A$12:$A$61,B27)&lt;&gt;1,"CHECK ITEM CODE",IF(OR(NOT(ISNUMBER(A27)),A27&lt;=0),"CHECK DATE",IF(AND(D27&lt;&gt;"IN",D27&lt;&gt;"OUT"),"USE IN OR OUT",IF(OR(NOT(ISNUMBER(E27)),E27&lt;=0),"POSITIVE QTY NEEDED","OK"))))))</f>
        <v/>
      </c>
      <c r="I27" s="1"/>
      <c r="J27" s="1"/>
      <c r="K27" s="1"/>
    </row>
    <row r="28" spans="1:11" ht="24" customHeight="1">
      <c r="A28" s="7"/>
      <c r="B28" s="4"/>
      <c r="C28" s="1" t="str">
        <f>IF(B28="","",IF(COUNTIFS(Inventory!$A$12:$A$61,B28)=1,VLOOKUP(B28,Inventory!$A$12:$B$61,2,FALSE),"CHECK ITEM CODE"))</f>
        <v/>
      </c>
      <c r="D28" s="4"/>
      <c r="E28" s="8"/>
      <c r="F28" s="4"/>
      <c r="G28" s="4"/>
      <c r="H28" s="1" t="str">
        <f>IF(COUNTA(A28:B28,D28:G28)=0,"",IF(OR(A28="",B28="",D28="",E28=""),"COMPLETE ENTRY",IF(COUNTIFS(Inventory!$A$12:$A$61,B28)&lt;&gt;1,"CHECK ITEM CODE",IF(OR(NOT(ISNUMBER(A28)),A28&lt;=0),"CHECK DATE",IF(AND(D28&lt;&gt;"IN",D28&lt;&gt;"OUT"),"USE IN OR OUT",IF(OR(NOT(ISNUMBER(E28)),E28&lt;=0),"POSITIVE QTY NEEDED","OK"))))))</f>
        <v/>
      </c>
      <c r="I28" s="1"/>
      <c r="J28" s="1"/>
      <c r="K28" s="1"/>
    </row>
    <row r="29" spans="1:11" ht="24" customHeight="1">
      <c r="A29" s="7"/>
      <c r="B29" s="4"/>
      <c r="C29" s="1" t="str">
        <f>IF(B29="","",IF(COUNTIFS(Inventory!$A$12:$A$61,B29)=1,VLOOKUP(B29,Inventory!$A$12:$B$61,2,FALSE),"CHECK ITEM CODE"))</f>
        <v/>
      </c>
      <c r="D29" s="4"/>
      <c r="E29" s="8"/>
      <c r="F29" s="4"/>
      <c r="G29" s="4"/>
      <c r="H29" s="1" t="str">
        <f>IF(COUNTA(A29:B29,D29:G29)=0,"",IF(OR(A29="",B29="",D29="",E29=""),"COMPLETE ENTRY",IF(COUNTIFS(Inventory!$A$12:$A$61,B29)&lt;&gt;1,"CHECK ITEM CODE",IF(OR(NOT(ISNUMBER(A29)),A29&lt;=0),"CHECK DATE",IF(AND(D29&lt;&gt;"IN",D29&lt;&gt;"OUT"),"USE IN OR OUT",IF(OR(NOT(ISNUMBER(E29)),E29&lt;=0),"POSITIVE QTY NEEDED","OK"))))))</f>
        <v/>
      </c>
      <c r="I29" s="1"/>
      <c r="J29" s="1"/>
      <c r="K29" s="1"/>
    </row>
    <row r="30" spans="1:11" ht="24" customHeight="1">
      <c r="A30" s="7"/>
      <c r="B30" s="4"/>
      <c r="C30" s="1" t="str">
        <f>IF(B30="","",IF(COUNTIFS(Inventory!$A$12:$A$61,B30)=1,VLOOKUP(B30,Inventory!$A$12:$B$61,2,FALSE),"CHECK ITEM CODE"))</f>
        <v/>
      </c>
      <c r="D30" s="4"/>
      <c r="E30" s="8"/>
      <c r="F30" s="4"/>
      <c r="G30" s="4"/>
      <c r="H30" s="1" t="str">
        <f>IF(COUNTA(A30:B30,D30:G30)=0,"",IF(OR(A30="",B30="",D30="",E30=""),"COMPLETE ENTRY",IF(COUNTIFS(Inventory!$A$12:$A$61,B30)&lt;&gt;1,"CHECK ITEM CODE",IF(OR(NOT(ISNUMBER(A30)),A30&lt;=0),"CHECK DATE",IF(AND(D30&lt;&gt;"IN",D30&lt;&gt;"OUT"),"USE IN OR OUT",IF(OR(NOT(ISNUMBER(E30)),E30&lt;=0),"POSITIVE QTY NEEDED","OK"))))))</f>
        <v/>
      </c>
      <c r="I30" s="1"/>
      <c r="J30" s="1"/>
      <c r="K30" s="1"/>
    </row>
    <row r="31" spans="1:11" ht="24" customHeight="1">
      <c r="A31" s="7"/>
      <c r="B31" s="4"/>
      <c r="C31" s="1" t="str">
        <f>IF(B31="","",IF(COUNTIFS(Inventory!$A$12:$A$61,B31)=1,VLOOKUP(B31,Inventory!$A$12:$B$61,2,FALSE),"CHECK ITEM CODE"))</f>
        <v/>
      </c>
      <c r="D31" s="4"/>
      <c r="E31" s="8"/>
      <c r="F31" s="4"/>
      <c r="G31" s="4"/>
      <c r="H31" s="1" t="str">
        <f>IF(COUNTA(A31:B31,D31:G31)=0,"",IF(OR(A31="",B31="",D31="",E31=""),"COMPLETE ENTRY",IF(COUNTIFS(Inventory!$A$12:$A$61,B31)&lt;&gt;1,"CHECK ITEM CODE",IF(OR(NOT(ISNUMBER(A31)),A31&lt;=0),"CHECK DATE",IF(AND(D31&lt;&gt;"IN",D31&lt;&gt;"OUT"),"USE IN OR OUT",IF(OR(NOT(ISNUMBER(E31)),E31&lt;=0),"POSITIVE QTY NEEDED","OK"))))))</f>
        <v/>
      </c>
      <c r="I31" s="1"/>
      <c r="J31" s="1"/>
      <c r="K31" s="1"/>
    </row>
    <row r="32" spans="1:11" ht="24" customHeight="1">
      <c r="A32" s="7"/>
      <c r="B32" s="4"/>
      <c r="C32" s="1" t="str">
        <f>IF(B32="","",IF(COUNTIFS(Inventory!$A$12:$A$61,B32)=1,VLOOKUP(B32,Inventory!$A$12:$B$61,2,FALSE),"CHECK ITEM CODE"))</f>
        <v/>
      </c>
      <c r="D32" s="4"/>
      <c r="E32" s="8"/>
      <c r="F32" s="4"/>
      <c r="G32" s="4"/>
      <c r="H32" s="1" t="str">
        <f>IF(COUNTA(A32:B32,D32:G32)=0,"",IF(OR(A32="",B32="",D32="",E32=""),"COMPLETE ENTRY",IF(COUNTIFS(Inventory!$A$12:$A$61,B32)&lt;&gt;1,"CHECK ITEM CODE",IF(OR(NOT(ISNUMBER(A32)),A32&lt;=0),"CHECK DATE",IF(AND(D32&lt;&gt;"IN",D32&lt;&gt;"OUT"),"USE IN OR OUT",IF(OR(NOT(ISNUMBER(E32)),E32&lt;=0),"POSITIVE QTY NEEDED","OK"))))))</f>
        <v/>
      </c>
      <c r="I32" s="1"/>
      <c r="J32" s="1"/>
      <c r="K32" s="1"/>
    </row>
    <row r="33" spans="1:11" ht="24" customHeight="1">
      <c r="A33" s="7"/>
      <c r="B33" s="4"/>
      <c r="C33" s="1" t="str">
        <f>IF(B33="","",IF(COUNTIFS(Inventory!$A$12:$A$61,B33)=1,VLOOKUP(B33,Inventory!$A$12:$B$61,2,FALSE),"CHECK ITEM CODE"))</f>
        <v/>
      </c>
      <c r="D33" s="4"/>
      <c r="E33" s="8"/>
      <c r="F33" s="4"/>
      <c r="G33" s="4"/>
      <c r="H33" s="1" t="str">
        <f>IF(COUNTA(A33:B33,D33:G33)=0,"",IF(OR(A33="",B33="",D33="",E33=""),"COMPLETE ENTRY",IF(COUNTIFS(Inventory!$A$12:$A$61,B33)&lt;&gt;1,"CHECK ITEM CODE",IF(OR(NOT(ISNUMBER(A33)),A33&lt;=0),"CHECK DATE",IF(AND(D33&lt;&gt;"IN",D33&lt;&gt;"OUT"),"USE IN OR OUT",IF(OR(NOT(ISNUMBER(E33)),E33&lt;=0),"POSITIVE QTY NEEDED","OK"))))))</f>
        <v/>
      </c>
      <c r="I33" s="1"/>
      <c r="J33" s="1"/>
      <c r="K33" s="1"/>
    </row>
    <row r="34" spans="1:11" ht="24" customHeight="1">
      <c r="A34" s="7"/>
      <c r="B34" s="4"/>
      <c r="C34" s="1" t="str">
        <f>IF(B34="","",IF(COUNTIFS(Inventory!$A$12:$A$61,B34)=1,VLOOKUP(B34,Inventory!$A$12:$B$61,2,FALSE),"CHECK ITEM CODE"))</f>
        <v/>
      </c>
      <c r="D34" s="4"/>
      <c r="E34" s="8"/>
      <c r="F34" s="4"/>
      <c r="G34" s="4"/>
      <c r="H34" s="1" t="str">
        <f>IF(COUNTA(A34:B34,D34:G34)=0,"",IF(OR(A34="",B34="",D34="",E34=""),"COMPLETE ENTRY",IF(COUNTIFS(Inventory!$A$12:$A$61,B34)&lt;&gt;1,"CHECK ITEM CODE",IF(OR(NOT(ISNUMBER(A34)),A34&lt;=0),"CHECK DATE",IF(AND(D34&lt;&gt;"IN",D34&lt;&gt;"OUT"),"USE IN OR OUT",IF(OR(NOT(ISNUMBER(E34)),E34&lt;=0),"POSITIVE QTY NEEDED","OK"))))))</f>
        <v/>
      </c>
      <c r="I34" s="1"/>
      <c r="J34" s="1"/>
      <c r="K34" s="1"/>
    </row>
    <row r="35" spans="1:11" ht="24" customHeight="1">
      <c r="A35" s="7"/>
      <c r="B35" s="4"/>
      <c r="C35" s="1" t="str">
        <f>IF(B35="","",IF(COUNTIFS(Inventory!$A$12:$A$61,B35)=1,VLOOKUP(B35,Inventory!$A$12:$B$61,2,FALSE),"CHECK ITEM CODE"))</f>
        <v/>
      </c>
      <c r="D35" s="4"/>
      <c r="E35" s="8"/>
      <c r="F35" s="4"/>
      <c r="G35" s="4"/>
      <c r="H35" s="1" t="str">
        <f>IF(COUNTA(A35:B35,D35:G35)=0,"",IF(OR(A35="",B35="",D35="",E35=""),"COMPLETE ENTRY",IF(COUNTIFS(Inventory!$A$12:$A$61,B35)&lt;&gt;1,"CHECK ITEM CODE",IF(OR(NOT(ISNUMBER(A35)),A35&lt;=0),"CHECK DATE",IF(AND(D35&lt;&gt;"IN",D35&lt;&gt;"OUT"),"USE IN OR OUT",IF(OR(NOT(ISNUMBER(E35)),E35&lt;=0),"POSITIVE QTY NEEDED","OK"))))))</f>
        <v/>
      </c>
      <c r="I35" s="1"/>
      <c r="J35" s="1"/>
      <c r="K35" s="1"/>
    </row>
    <row r="36" spans="1:11" ht="24" customHeight="1">
      <c r="A36" s="7"/>
      <c r="B36" s="4"/>
      <c r="C36" s="1" t="str">
        <f>IF(B36="","",IF(COUNTIFS(Inventory!$A$12:$A$61,B36)=1,VLOOKUP(B36,Inventory!$A$12:$B$61,2,FALSE),"CHECK ITEM CODE"))</f>
        <v/>
      </c>
      <c r="D36" s="4"/>
      <c r="E36" s="8"/>
      <c r="F36" s="4"/>
      <c r="G36" s="4"/>
      <c r="H36" s="1" t="str">
        <f>IF(COUNTA(A36:B36,D36:G36)=0,"",IF(OR(A36="",B36="",D36="",E36=""),"COMPLETE ENTRY",IF(COUNTIFS(Inventory!$A$12:$A$61,B36)&lt;&gt;1,"CHECK ITEM CODE",IF(OR(NOT(ISNUMBER(A36)),A36&lt;=0),"CHECK DATE",IF(AND(D36&lt;&gt;"IN",D36&lt;&gt;"OUT"),"USE IN OR OUT",IF(OR(NOT(ISNUMBER(E36)),E36&lt;=0),"POSITIVE QTY NEEDED","OK"))))))</f>
        <v/>
      </c>
      <c r="I36" s="1"/>
      <c r="J36" s="1"/>
      <c r="K36" s="1"/>
    </row>
    <row r="37" spans="1:11" ht="24" customHeight="1">
      <c r="A37" s="7"/>
      <c r="B37" s="4"/>
      <c r="C37" s="1" t="str">
        <f>IF(B37="","",IF(COUNTIFS(Inventory!$A$12:$A$61,B37)=1,VLOOKUP(B37,Inventory!$A$12:$B$61,2,FALSE),"CHECK ITEM CODE"))</f>
        <v/>
      </c>
      <c r="D37" s="4"/>
      <c r="E37" s="8"/>
      <c r="F37" s="4"/>
      <c r="G37" s="4"/>
      <c r="H37" s="1" t="str">
        <f>IF(COUNTA(A37:B37,D37:G37)=0,"",IF(OR(A37="",B37="",D37="",E37=""),"COMPLETE ENTRY",IF(COUNTIFS(Inventory!$A$12:$A$61,B37)&lt;&gt;1,"CHECK ITEM CODE",IF(OR(NOT(ISNUMBER(A37)),A37&lt;=0),"CHECK DATE",IF(AND(D37&lt;&gt;"IN",D37&lt;&gt;"OUT"),"USE IN OR OUT",IF(OR(NOT(ISNUMBER(E37)),E37&lt;=0),"POSITIVE QTY NEEDED","OK"))))))</f>
        <v/>
      </c>
      <c r="I37" s="1"/>
      <c r="J37" s="1"/>
      <c r="K37" s="1"/>
    </row>
    <row r="38" spans="1:11" ht="24" customHeight="1">
      <c r="A38" s="7"/>
      <c r="B38" s="4"/>
      <c r="C38" s="1" t="str">
        <f>IF(B38="","",IF(COUNTIFS(Inventory!$A$12:$A$61,B38)=1,VLOOKUP(B38,Inventory!$A$12:$B$61,2,FALSE),"CHECK ITEM CODE"))</f>
        <v/>
      </c>
      <c r="D38" s="4"/>
      <c r="E38" s="8"/>
      <c r="F38" s="4"/>
      <c r="G38" s="4"/>
      <c r="H38" s="1" t="str">
        <f>IF(COUNTA(A38:B38,D38:G38)=0,"",IF(OR(A38="",B38="",D38="",E38=""),"COMPLETE ENTRY",IF(COUNTIFS(Inventory!$A$12:$A$61,B38)&lt;&gt;1,"CHECK ITEM CODE",IF(OR(NOT(ISNUMBER(A38)),A38&lt;=0),"CHECK DATE",IF(AND(D38&lt;&gt;"IN",D38&lt;&gt;"OUT"),"USE IN OR OUT",IF(OR(NOT(ISNUMBER(E38)),E38&lt;=0),"POSITIVE QTY NEEDED","OK"))))))</f>
        <v/>
      </c>
      <c r="I38" s="1"/>
      <c r="J38" s="1"/>
      <c r="K38" s="1"/>
    </row>
    <row r="39" spans="1:11" ht="24" customHeight="1">
      <c r="A39" s="7"/>
      <c r="B39" s="4"/>
      <c r="C39" s="1" t="str">
        <f>IF(B39="","",IF(COUNTIFS(Inventory!$A$12:$A$61,B39)=1,VLOOKUP(B39,Inventory!$A$12:$B$61,2,FALSE),"CHECK ITEM CODE"))</f>
        <v/>
      </c>
      <c r="D39" s="4"/>
      <c r="E39" s="8"/>
      <c r="F39" s="4"/>
      <c r="G39" s="4"/>
      <c r="H39" s="1" t="str">
        <f>IF(COUNTA(A39:B39,D39:G39)=0,"",IF(OR(A39="",B39="",D39="",E39=""),"COMPLETE ENTRY",IF(COUNTIFS(Inventory!$A$12:$A$61,B39)&lt;&gt;1,"CHECK ITEM CODE",IF(OR(NOT(ISNUMBER(A39)),A39&lt;=0),"CHECK DATE",IF(AND(D39&lt;&gt;"IN",D39&lt;&gt;"OUT"),"USE IN OR OUT",IF(OR(NOT(ISNUMBER(E39)),E39&lt;=0),"POSITIVE QTY NEEDED","OK"))))))</f>
        <v/>
      </c>
      <c r="I39" s="1"/>
      <c r="J39" s="1"/>
      <c r="K39" s="1"/>
    </row>
    <row r="40" spans="1:11" ht="24" customHeight="1">
      <c r="A40" s="7"/>
      <c r="B40" s="4"/>
      <c r="C40" s="1" t="str">
        <f>IF(B40="","",IF(COUNTIFS(Inventory!$A$12:$A$61,B40)=1,VLOOKUP(B40,Inventory!$A$12:$B$61,2,FALSE),"CHECK ITEM CODE"))</f>
        <v/>
      </c>
      <c r="D40" s="4"/>
      <c r="E40" s="8"/>
      <c r="F40" s="4"/>
      <c r="G40" s="4"/>
      <c r="H40" s="1" t="str">
        <f>IF(COUNTA(A40:B40,D40:G40)=0,"",IF(OR(A40="",B40="",D40="",E40=""),"COMPLETE ENTRY",IF(COUNTIFS(Inventory!$A$12:$A$61,B40)&lt;&gt;1,"CHECK ITEM CODE",IF(OR(NOT(ISNUMBER(A40)),A40&lt;=0),"CHECK DATE",IF(AND(D40&lt;&gt;"IN",D40&lt;&gt;"OUT"),"USE IN OR OUT",IF(OR(NOT(ISNUMBER(E40)),E40&lt;=0),"POSITIVE QTY NEEDED","OK"))))))</f>
        <v/>
      </c>
      <c r="I40" s="1"/>
      <c r="J40" s="1"/>
      <c r="K40" s="1"/>
    </row>
    <row r="41" spans="1:11" ht="24" customHeight="1">
      <c r="A41" s="7"/>
      <c r="B41" s="4"/>
      <c r="C41" s="1" t="str">
        <f>IF(B41="","",IF(COUNTIFS(Inventory!$A$12:$A$61,B41)=1,VLOOKUP(B41,Inventory!$A$12:$B$61,2,FALSE),"CHECK ITEM CODE"))</f>
        <v/>
      </c>
      <c r="D41" s="4"/>
      <c r="E41" s="8"/>
      <c r="F41" s="4"/>
      <c r="G41" s="4"/>
      <c r="H41" s="1" t="str">
        <f>IF(COUNTA(A41:B41,D41:G41)=0,"",IF(OR(A41="",B41="",D41="",E41=""),"COMPLETE ENTRY",IF(COUNTIFS(Inventory!$A$12:$A$61,B41)&lt;&gt;1,"CHECK ITEM CODE",IF(OR(NOT(ISNUMBER(A41)),A41&lt;=0),"CHECK DATE",IF(AND(D41&lt;&gt;"IN",D41&lt;&gt;"OUT"),"USE IN OR OUT",IF(OR(NOT(ISNUMBER(E41)),E41&lt;=0),"POSITIVE QTY NEEDED","OK"))))))</f>
        <v/>
      </c>
      <c r="I41" s="1"/>
      <c r="J41" s="1"/>
      <c r="K41" s="1"/>
    </row>
    <row r="42" spans="1:11" ht="24" customHeight="1">
      <c r="A42" s="7"/>
      <c r="B42" s="4"/>
      <c r="C42" s="1" t="str">
        <f>IF(B42="","",IF(COUNTIFS(Inventory!$A$12:$A$61,B42)=1,VLOOKUP(B42,Inventory!$A$12:$B$61,2,FALSE),"CHECK ITEM CODE"))</f>
        <v/>
      </c>
      <c r="D42" s="4"/>
      <c r="E42" s="8"/>
      <c r="F42" s="4"/>
      <c r="G42" s="4"/>
      <c r="H42" s="1" t="str">
        <f>IF(COUNTA(A42:B42,D42:G42)=0,"",IF(OR(A42="",B42="",D42="",E42=""),"COMPLETE ENTRY",IF(COUNTIFS(Inventory!$A$12:$A$61,B42)&lt;&gt;1,"CHECK ITEM CODE",IF(OR(NOT(ISNUMBER(A42)),A42&lt;=0),"CHECK DATE",IF(AND(D42&lt;&gt;"IN",D42&lt;&gt;"OUT"),"USE IN OR OUT",IF(OR(NOT(ISNUMBER(E42)),E42&lt;=0),"POSITIVE QTY NEEDED","OK"))))))</f>
        <v/>
      </c>
      <c r="I42" s="1"/>
      <c r="J42" s="1"/>
      <c r="K42" s="1"/>
    </row>
    <row r="43" spans="1:11" ht="24" customHeight="1">
      <c r="A43" s="7"/>
      <c r="B43" s="4"/>
      <c r="C43" s="1" t="str">
        <f>IF(B43="","",IF(COUNTIFS(Inventory!$A$12:$A$61,B43)=1,VLOOKUP(B43,Inventory!$A$12:$B$61,2,FALSE),"CHECK ITEM CODE"))</f>
        <v/>
      </c>
      <c r="D43" s="4"/>
      <c r="E43" s="8"/>
      <c r="F43" s="4"/>
      <c r="G43" s="4"/>
      <c r="H43" s="1" t="str">
        <f>IF(COUNTA(A43:B43,D43:G43)=0,"",IF(OR(A43="",B43="",D43="",E43=""),"COMPLETE ENTRY",IF(COUNTIFS(Inventory!$A$12:$A$61,B43)&lt;&gt;1,"CHECK ITEM CODE",IF(OR(NOT(ISNUMBER(A43)),A43&lt;=0),"CHECK DATE",IF(AND(D43&lt;&gt;"IN",D43&lt;&gt;"OUT"),"USE IN OR OUT",IF(OR(NOT(ISNUMBER(E43)),E43&lt;=0),"POSITIVE QTY NEEDED","OK"))))))</f>
        <v/>
      </c>
      <c r="I43" s="1"/>
      <c r="J43" s="1"/>
      <c r="K43" s="1"/>
    </row>
    <row r="44" spans="1:11" ht="24" customHeight="1">
      <c r="A44" s="7"/>
      <c r="B44" s="4"/>
      <c r="C44" s="1" t="str">
        <f>IF(B44="","",IF(COUNTIFS(Inventory!$A$12:$A$61,B44)=1,VLOOKUP(B44,Inventory!$A$12:$B$61,2,FALSE),"CHECK ITEM CODE"))</f>
        <v/>
      </c>
      <c r="D44" s="4"/>
      <c r="E44" s="8"/>
      <c r="F44" s="4"/>
      <c r="G44" s="4"/>
      <c r="H44" s="1" t="str">
        <f>IF(COUNTA(A44:B44,D44:G44)=0,"",IF(OR(A44="",B44="",D44="",E44=""),"COMPLETE ENTRY",IF(COUNTIFS(Inventory!$A$12:$A$61,B44)&lt;&gt;1,"CHECK ITEM CODE",IF(OR(NOT(ISNUMBER(A44)),A44&lt;=0),"CHECK DATE",IF(AND(D44&lt;&gt;"IN",D44&lt;&gt;"OUT"),"USE IN OR OUT",IF(OR(NOT(ISNUMBER(E44)),E44&lt;=0),"POSITIVE QTY NEEDED","OK"))))))</f>
        <v/>
      </c>
      <c r="I44" s="1"/>
      <c r="J44" s="1"/>
      <c r="K44" s="1"/>
    </row>
    <row r="45" spans="1:11" ht="24" customHeight="1">
      <c r="A45" s="7"/>
      <c r="B45" s="4"/>
      <c r="C45" s="1" t="str">
        <f>IF(B45="","",IF(COUNTIFS(Inventory!$A$12:$A$61,B45)=1,VLOOKUP(B45,Inventory!$A$12:$B$61,2,FALSE),"CHECK ITEM CODE"))</f>
        <v/>
      </c>
      <c r="D45" s="4"/>
      <c r="E45" s="8"/>
      <c r="F45" s="4"/>
      <c r="G45" s="4"/>
      <c r="H45" s="1" t="str">
        <f>IF(COUNTA(A45:B45,D45:G45)=0,"",IF(OR(A45="",B45="",D45="",E45=""),"COMPLETE ENTRY",IF(COUNTIFS(Inventory!$A$12:$A$61,B45)&lt;&gt;1,"CHECK ITEM CODE",IF(OR(NOT(ISNUMBER(A45)),A45&lt;=0),"CHECK DATE",IF(AND(D45&lt;&gt;"IN",D45&lt;&gt;"OUT"),"USE IN OR OUT",IF(OR(NOT(ISNUMBER(E45)),E45&lt;=0),"POSITIVE QTY NEEDED","OK"))))))</f>
        <v/>
      </c>
      <c r="I45" s="1"/>
      <c r="J45" s="1"/>
      <c r="K45" s="1"/>
    </row>
    <row r="46" spans="1:11" ht="24" customHeight="1">
      <c r="A46" s="7"/>
      <c r="B46" s="4"/>
      <c r="C46" s="1" t="str">
        <f>IF(B46="","",IF(COUNTIFS(Inventory!$A$12:$A$61,B46)=1,VLOOKUP(B46,Inventory!$A$12:$B$61,2,FALSE),"CHECK ITEM CODE"))</f>
        <v/>
      </c>
      <c r="D46" s="4"/>
      <c r="E46" s="8"/>
      <c r="F46" s="4"/>
      <c r="G46" s="4"/>
      <c r="H46" s="1" t="str">
        <f>IF(COUNTA(A46:B46,D46:G46)=0,"",IF(OR(A46="",B46="",D46="",E46=""),"COMPLETE ENTRY",IF(COUNTIFS(Inventory!$A$12:$A$61,B46)&lt;&gt;1,"CHECK ITEM CODE",IF(OR(NOT(ISNUMBER(A46)),A46&lt;=0),"CHECK DATE",IF(AND(D46&lt;&gt;"IN",D46&lt;&gt;"OUT"),"USE IN OR OUT",IF(OR(NOT(ISNUMBER(E46)),E46&lt;=0),"POSITIVE QTY NEEDED","OK"))))))</f>
        <v/>
      </c>
      <c r="I46" s="1"/>
      <c r="J46" s="1"/>
      <c r="K46" s="1"/>
    </row>
    <row r="47" spans="1:11" ht="24" customHeight="1">
      <c r="A47" s="7"/>
      <c r="B47" s="4"/>
      <c r="C47" s="1" t="str">
        <f>IF(B47="","",IF(COUNTIFS(Inventory!$A$12:$A$61,B47)=1,VLOOKUP(B47,Inventory!$A$12:$B$61,2,FALSE),"CHECK ITEM CODE"))</f>
        <v/>
      </c>
      <c r="D47" s="4"/>
      <c r="E47" s="8"/>
      <c r="F47" s="4"/>
      <c r="G47" s="4"/>
      <c r="H47" s="1" t="str">
        <f>IF(COUNTA(A47:B47,D47:G47)=0,"",IF(OR(A47="",B47="",D47="",E47=""),"COMPLETE ENTRY",IF(COUNTIFS(Inventory!$A$12:$A$61,B47)&lt;&gt;1,"CHECK ITEM CODE",IF(OR(NOT(ISNUMBER(A47)),A47&lt;=0),"CHECK DATE",IF(AND(D47&lt;&gt;"IN",D47&lt;&gt;"OUT"),"USE IN OR OUT",IF(OR(NOT(ISNUMBER(E47)),E47&lt;=0),"POSITIVE QTY NEEDED","OK"))))))</f>
        <v/>
      </c>
      <c r="I47" s="1"/>
      <c r="J47" s="1"/>
      <c r="K47" s="1"/>
    </row>
    <row r="48" spans="1:11" ht="24" customHeight="1">
      <c r="A48" s="7"/>
      <c r="B48" s="4"/>
      <c r="C48" s="1" t="str">
        <f>IF(B48="","",IF(COUNTIFS(Inventory!$A$12:$A$61,B48)=1,VLOOKUP(B48,Inventory!$A$12:$B$61,2,FALSE),"CHECK ITEM CODE"))</f>
        <v/>
      </c>
      <c r="D48" s="4"/>
      <c r="E48" s="8"/>
      <c r="F48" s="4"/>
      <c r="G48" s="4"/>
      <c r="H48" s="1" t="str">
        <f>IF(COUNTA(A48:B48,D48:G48)=0,"",IF(OR(A48="",B48="",D48="",E48=""),"COMPLETE ENTRY",IF(COUNTIFS(Inventory!$A$12:$A$61,B48)&lt;&gt;1,"CHECK ITEM CODE",IF(OR(NOT(ISNUMBER(A48)),A48&lt;=0),"CHECK DATE",IF(AND(D48&lt;&gt;"IN",D48&lt;&gt;"OUT"),"USE IN OR OUT",IF(OR(NOT(ISNUMBER(E48)),E48&lt;=0),"POSITIVE QTY NEEDED","OK"))))))</f>
        <v/>
      </c>
      <c r="I48" s="1"/>
      <c r="J48" s="1"/>
      <c r="K48" s="1"/>
    </row>
    <row r="49" spans="1:11" ht="24" customHeight="1">
      <c r="A49" s="7"/>
      <c r="B49" s="4"/>
      <c r="C49" s="1" t="str">
        <f>IF(B49="","",IF(COUNTIFS(Inventory!$A$12:$A$61,B49)=1,VLOOKUP(B49,Inventory!$A$12:$B$61,2,FALSE),"CHECK ITEM CODE"))</f>
        <v/>
      </c>
      <c r="D49" s="4"/>
      <c r="E49" s="8"/>
      <c r="F49" s="4"/>
      <c r="G49" s="4"/>
      <c r="H49" s="1" t="str">
        <f>IF(COUNTA(A49:B49,D49:G49)=0,"",IF(OR(A49="",B49="",D49="",E49=""),"COMPLETE ENTRY",IF(COUNTIFS(Inventory!$A$12:$A$61,B49)&lt;&gt;1,"CHECK ITEM CODE",IF(OR(NOT(ISNUMBER(A49)),A49&lt;=0),"CHECK DATE",IF(AND(D49&lt;&gt;"IN",D49&lt;&gt;"OUT"),"USE IN OR OUT",IF(OR(NOT(ISNUMBER(E49)),E49&lt;=0),"POSITIVE QTY NEEDED","OK"))))))</f>
        <v/>
      </c>
      <c r="I49" s="1"/>
      <c r="J49" s="1"/>
      <c r="K49" s="1"/>
    </row>
    <row r="50" spans="1:11" ht="24" customHeight="1">
      <c r="A50" s="7"/>
      <c r="B50" s="4"/>
      <c r="C50" s="1" t="str">
        <f>IF(B50="","",IF(COUNTIFS(Inventory!$A$12:$A$61,B50)=1,VLOOKUP(B50,Inventory!$A$12:$B$61,2,FALSE),"CHECK ITEM CODE"))</f>
        <v/>
      </c>
      <c r="D50" s="4"/>
      <c r="E50" s="8"/>
      <c r="F50" s="4"/>
      <c r="G50" s="4"/>
      <c r="H50" s="1" t="str">
        <f>IF(COUNTA(A50:B50,D50:G50)=0,"",IF(OR(A50="",B50="",D50="",E50=""),"COMPLETE ENTRY",IF(COUNTIFS(Inventory!$A$12:$A$61,B50)&lt;&gt;1,"CHECK ITEM CODE",IF(OR(NOT(ISNUMBER(A50)),A50&lt;=0),"CHECK DATE",IF(AND(D50&lt;&gt;"IN",D50&lt;&gt;"OUT"),"USE IN OR OUT",IF(OR(NOT(ISNUMBER(E50)),E50&lt;=0),"POSITIVE QTY NEEDED","OK"))))))</f>
        <v/>
      </c>
      <c r="I50" s="1"/>
      <c r="J50" s="1"/>
      <c r="K50" s="1"/>
    </row>
    <row r="51" spans="1:11" ht="24" customHeight="1">
      <c r="A51" s="7"/>
      <c r="B51" s="4"/>
      <c r="C51" s="1" t="str">
        <f>IF(B51="","",IF(COUNTIFS(Inventory!$A$12:$A$61,B51)=1,VLOOKUP(B51,Inventory!$A$12:$B$61,2,FALSE),"CHECK ITEM CODE"))</f>
        <v/>
      </c>
      <c r="D51" s="4"/>
      <c r="E51" s="8"/>
      <c r="F51" s="4"/>
      <c r="G51" s="4"/>
      <c r="H51" s="1" t="str">
        <f>IF(COUNTA(A51:B51,D51:G51)=0,"",IF(OR(A51="",B51="",D51="",E51=""),"COMPLETE ENTRY",IF(COUNTIFS(Inventory!$A$12:$A$61,B51)&lt;&gt;1,"CHECK ITEM CODE",IF(OR(NOT(ISNUMBER(A51)),A51&lt;=0),"CHECK DATE",IF(AND(D51&lt;&gt;"IN",D51&lt;&gt;"OUT"),"USE IN OR OUT",IF(OR(NOT(ISNUMBER(E51)),E51&lt;=0),"POSITIVE QTY NEEDED","OK"))))))</f>
        <v/>
      </c>
      <c r="I51" s="1"/>
      <c r="J51" s="1"/>
      <c r="K51" s="1"/>
    </row>
    <row r="52" spans="1:11" ht="24" customHeight="1">
      <c r="A52" s="7"/>
      <c r="B52" s="4"/>
      <c r="C52" s="1" t="str">
        <f>IF(B52="","",IF(COUNTIFS(Inventory!$A$12:$A$61,B52)=1,VLOOKUP(B52,Inventory!$A$12:$B$61,2,FALSE),"CHECK ITEM CODE"))</f>
        <v/>
      </c>
      <c r="D52" s="4"/>
      <c r="E52" s="8"/>
      <c r="F52" s="4"/>
      <c r="G52" s="4"/>
      <c r="H52" s="1" t="str">
        <f>IF(COUNTA(A52:B52,D52:G52)=0,"",IF(OR(A52="",B52="",D52="",E52=""),"COMPLETE ENTRY",IF(COUNTIFS(Inventory!$A$12:$A$61,B52)&lt;&gt;1,"CHECK ITEM CODE",IF(OR(NOT(ISNUMBER(A52)),A52&lt;=0),"CHECK DATE",IF(AND(D52&lt;&gt;"IN",D52&lt;&gt;"OUT"),"USE IN OR OUT",IF(OR(NOT(ISNUMBER(E52)),E52&lt;=0),"POSITIVE QTY NEEDED","OK"))))))</f>
        <v/>
      </c>
      <c r="I52" s="1"/>
      <c r="J52" s="1"/>
      <c r="K52" s="1"/>
    </row>
    <row r="53" spans="1:11" ht="24" customHeight="1">
      <c r="A53" s="7"/>
      <c r="B53" s="4"/>
      <c r="C53" s="1" t="str">
        <f>IF(B53="","",IF(COUNTIFS(Inventory!$A$12:$A$61,B53)=1,VLOOKUP(B53,Inventory!$A$12:$B$61,2,FALSE),"CHECK ITEM CODE"))</f>
        <v/>
      </c>
      <c r="D53" s="4"/>
      <c r="E53" s="8"/>
      <c r="F53" s="4"/>
      <c r="G53" s="4"/>
      <c r="H53" s="1" t="str">
        <f>IF(COUNTA(A53:B53,D53:G53)=0,"",IF(OR(A53="",B53="",D53="",E53=""),"COMPLETE ENTRY",IF(COUNTIFS(Inventory!$A$12:$A$61,B53)&lt;&gt;1,"CHECK ITEM CODE",IF(OR(NOT(ISNUMBER(A53)),A53&lt;=0),"CHECK DATE",IF(AND(D53&lt;&gt;"IN",D53&lt;&gt;"OUT"),"USE IN OR OUT",IF(OR(NOT(ISNUMBER(E53)),E53&lt;=0),"POSITIVE QTY NEEDED","OK"))))))</f>
        <v/>
      </c>
      <c r="I53" s="1"/>
      <c r="J53" s="1"/>
      <c r="K53" s="1"/>
    </row>
    <row r="54" spans="1:11" ht="24" customHeight="1">
      <c r="A54" s="7"/>
      <c r="B54" s="4"/>
      <c r="C54" s="1" t="str">
        <f>IF(B54="","",IF(COUNTIFS(Inventory!$A$12:$A$61,B54)=1,VLOOKUP(B54,Inventory!$A$12:$B$61,2,FALSE),"CHECK ITEM CODE"))</f>
        <v/>
      </c>
      <c r="D54" s="4"/>
      <c r="E54" s="8"/>
      <c r="F54" s="4"/>
      <c r="G54" s="4"/>
      <c r="H54" s="1" t="str">
        <f>IF(COUNTA(A54:B54,D54:G54)=0,"",IF(OR(A54="",B54="",D54="",E54=""),"COMPLETE ENTRY",IF(COUNTIFS(Inventory!$A$12:$A$61,B54)&lt;&gt;1,"CHECK ITEM CODE",IF(OR(NOT(ISNUMBER(A54)),A54&lt;=0),"CHECK DATE",IF(AND(D54&lt;&gt;"IN",D54&lt;&gt;"OUT"),"USE IN OR OUT",IF(OR(NOT(ISNUMBER(E54)),E54&lt;=0),"POSITIVE QTY NEEDED","OK"))))))</f>
        <v/>
      </c>
      <c r="I54" s="1"/>
      <c r="J54" s="1"/>
      <c r="K54" s="1"/>
    </row>
    <row r="55" spans="1:11" ht="24" customHeight="1">
      <c r="A55" s="7"/>
      <c r="B55" s="4"/>
      <c r="C55" s="1" t="str">
        <f>IF(B55="","",IF(COUNTIFS(Inventory!$A$12:$A$61,B55)=1,VLOOKUP(B55,Inventory!$A$12:$B$61,2,FALSE),"CHECK ITEM CODE"))</f>
        <v/>
      </c>
      <c r="D55" s="4"/>
      <c r="E55" s="8"/>
      <c r="F55" s="4"/>
      <c r="G55" s="4"/>
      <c r="H55" s="1" t="str">
        <f>IF(COUNTA(A55:B55,D55:G55)=0,"",IF(OR(A55="",B55="",D55="",E55=""),"COMPLETE ENTRY",IF(COUNTIFS(Inventory!$A$12:$A$61,B55)&lt;&gt;1,"CHECK ITEM CODE",IF(OR(NOT(ISNUMBER(A55)),A55&lt;=0),"CHECK DATE",IF(AND(D55&lt;&gt;"IN",D55&lt;&gt;"OUT"),"USE IN OR OUT",IF(OR(NOT(ISNUMBER(E55)),E55&lt;=0),"POSITIVE QTY NEEDED","OK"))))))</f>
        <v/>
      </c>
      <c r="I55" s="1"/>
      <c r="J55" s="1"/>
      <c r="K55" s="1"/>
    </row>
    <row r="56" spans="1:11" ht="24" customHeight="1">
      <c r="A56" s="7"/>
      <c r="B56" s="4"/>
      <c r="C56" s="1" t="str">
        <f>IF(B56="","",IF(COUNTIFS(Inventory!$A$12:$A$61,B56)=1,VLOOKUP(B56,Inventory!$A$12:$B$61,2,FALSE),"CHECK ITEM CODE"))</f>
        <v/>
      </c>
      <c r="D56" s="4"/>
      <c r="E56" s="8"/>
      <c r="F56" s="4"/>
      <c r="G56" s="4"/>
      <c r="H56" s="1" t="str">
        <f>IF(COUNTA(A56:B56,D56:G56)=0,"",IF(OR(A56="",B56="",D56="",E56=""),"COMPLETE ENTRY",IF(COUNTIFS(Inventory!$A$12:$A$61,B56)&lt;&gt;1,"CHECK ITEM CODE",IF(OR(NOT(ISNUMBER(A56)),A56&lt;=0),"CHECK DATE",IF(AND(D56&lt;&gt;"IN",D56&lt;&gt;"OUT"),"USE IN OR OUT",IF(OR(NOT(ISNUMBER(E56)),E56&lt;=0),"POSITIVE QTY NEEDED","OK"))))))</f>
        <v/>
      </c>
      <c r="I56" s="1"/>
      <c r="J56" s="1"/>
      <c r="K56" s="1"/>
    </row>
    <row r="57" spans="1:11" ht="24" customHeight="1">
      <c r="A57" s="7"/>
      <c r="B57" s="4"/>
      <c r="C57" s="1" t="str">
        <f>IF(B57="","",IF(COUNTIFS(Inventory!$A$12:$A$61,B57)=1,VLOOKUP(B57,Inventory!$A$12:$B$61,2,FALSE),"CHECK ITEM CODE"))</f>
        <v/>
      </c>
      <c r="D57" s="4"/>
      <c r="E57" s="8"/>
      <c r="F57" s="4"/>
      <c r="G57" s="4"/>
      <c r="H57" s="1" t="str">
        <f>IF(COUNTA(A57:B57,D57:G57)=0,"",IF(OR(A57="",B57="",D57="",E57=""),"COMPLETE ENTRY",IF(COUNTIFS(Inventory!$A$12:$A$61,B57)&lt;&gt;1,"CHECK ITEM CODE",IF(OR(NOT(ISNUMBER(A57)),A57&lt;=0),"CHECK DATE",IF(AND(D57&lt;&gt;"IN",D57&lt;&gt;"OUT"),"USE IN OR OUT",IF(OR(NOT(ISNUMBER(E57)),E57&lt;=0),"POSITIVE QTY NEEDED","OK"))))))</f>
        <v/>
      </c>
      <c r="I57" s="1"/>
      <c r="J57" s="1"/>
      <c r="K57" s="1"/>
    </row>
    <row r="58" spans="1:11" ht="24" customHeight="1">
      <c r="A58" s="7"/>
      <c r="B58" s="4"/>
      <c r="C58" s="1" t="str">
        <f>IF(B58="","",IF(COUNTIFS(Inventory!$A$12:$A$61,B58)=1,VLOOKUP(B58,Inventory!$A$12:$B$61,2,FALSE),"CHECK ITEM CODE"))</f>
        <v/>
      </c>
      <c r="D58" s="4"/>
      <c r="E58" s="8"/>
      <c r="F58" s="4"/>
      <c r="G58" s="4"/>
      <c r="H58" s="1" t="str">
        <f>IF(COUNTA(A58:B58,D58:G58)=0,"",IF(OR(A58="",B58="",D58="",E58=""),"COMPLETE ENTRY",IF(COUNTIFS(Inventory!$A$12:$A$61,B58)&lt;&gt;1,"CHECK ITEM CODE",IF(OR(NOT(ISNUMBER(A58)),A58&lt;=0),"CHECK DATE",IF(AND(D58&lt;&gt;"IN",D58&lt;&gt;"OUT"),"USE IN OR OUT",IF(OR(NOT(ISNUMBER(E58)),E58&lt;=0),"POSITIVE QTY NEEDED","OK"))))))</f>
        <v/>
      </c>
      <c r="I58" s="1"/>
      <c r="J58" s="1"/>
      <c r="K58" s="1"/>
    </row>
    <row r="59" spans="1:11" ht="24" customHeight="1">
      <c r="A59" s="7"/>
      <c r="B59" s="4"/>
      <c r="C59" s="1" t="str">
        <f>IF(B59="","",IF(COUNTIFS(Inventory!$A$12:$A$61,B59)=1,VLOOKUP(B59,Inventory!$A$12:$B$61,2,FALSE),"CHECK ITEM CODE"))</f>
        <v/>
      </c>
      <c r="D59" s="4"/>
      <c r="E59" s="8"/>
      <c r="F59" s="4"/>
      <c r="G59" s="4"/>
      <c r="H59" s="1" t="str">
        <f>IF(COUNTA(A59:B59,D59:G59)=0,"",IF(OR(A59="",B59="",D59="",E59=""),"COMPLETE ENTRY",IF(COUNTIFS(Inventory!$A$12:$A$61,B59)&lt;&gt;1,"CHECK ITEM CODE",IF(OR(NOT(ISNUMBER(A59)),A59&lt;=0),"CHECK DATE",IF(AND(D59&lt;&gt;"IN",D59&lt;&gt;"OUT"),"USE IN OR OUT",IF(OR(NOT(ISNUMBER(E59)),E59&lt;=0),"POSITIVE QTY NEEDED","OK"))))))</f>
        <v/>
      </c>
      <c r="I59" s="1"/>
      <c r="J59" s="1"/>
      <c r="K59" s="1"/>
    </row>
    <row r="60" spans="1:11" ht="24" customHeight="1">
      <c r="A60" s="7"/>
      <c r="B60" s="4"/>
      <c r="C60" s="1" t="str">
        <f>IF(B60="","",IF(COUNTIFS(Inventory!$A$12:$A$61,B60)=1,VLOOKUP(B60,Inventory!$A$12:$B$61,2,FALSE),"CHECK ITEM CODE"))</f>
        <v/>
      </c>
      <c r="D60" s="4"/>
      <c r="E60" s="8"/>
      <c r="F60" s="4"/>
      <c r="G60" s="4"/>
      <c r="H60" s="1" t="str">
        <f>IF(COUNTA(A60:B60,D60:G60)=0,"",IF(OR(A60="",B60="",D60="",E60=""),"COMPLETE ENTRY",IF(COUNTIFS(Inventory!$A$12:$A$61,B60)&lt;&gt;1,"CHECK ITEM CODE",IF(OR(NOT(ISNUMBER(A60)),A60&lt;=0),"CHECK DATE",IF(AND(D60&lt;&gt;"IN",D60&lt;&gt;"OUT"),"USE IN OR OUT",IF(OR(NOT(ISNUMBER(E60)),E60&lt;=0),"POSITIVE QTY NEEDED","OK"))))))</f>
        <v/>
      </c>
      <c r="I60" s="1"/>
      <c r="J60" s="1"/>
      <c r="K60" s="1"/>
    </row>
    <row r="61" spans="1:11" ht="24" customHeight="1">
      <c r="A61" s="7"/>
      <c r="B61" s="4"/>
      <c r="C61" s="1" t="str">
        <f>IF(B61="","",IF(COUNTIFS(Inventory!$A$12:$A$61,B61)=1,VLOOKUP(B61,Inventory!$A$12:$B$61,2,FALSE),"CHECK ITEM CODE"))</f>
        <v/>
      </c>
      <c r="D61" s="4"/>
      <c r="E61" s="8"/>
      <c r="F61" s="4"/>
      <c r="G61" s="4"/>
      <c r="H61" s="1" t="str">
        <f>IF(COUNTA(A61:B61,D61:G61)=0,"",IF(OR(A61="",B61="",D61="",E61=""),"COMPLETE ENTRY",IF(COUNTIFS(Inventory!$A$12:$A$61,B61)&lt;&gt;1,"CHECK ITEM CODE",IF(OR(NOT(ISNUMBER(A61)),A61&lt;=0),"CHECK DATE",IF(AND(D61&lt;&gt;"IN",D61&lt;&gt;"OUT"),"USE IN OR OUT",IF(OR(NOT(ISNUMBER(E61)),E61&lt;=0),"POSITIVE QTY NEEDED","OK"))))))</f>
        <v/>
      </c>
      <c r="I61" s="1"/>
      <c r="J61" s="1"/>
      <c r="K61" s="1"/>
    </row>
    <row r="62" spans="1:11" ht="24" customHeight="1">
      <c r="A62" s="7"/>
      <c r="B62" s="4"/>
      <c r="C62" s="1" t="str">
        <f>IF(B62="","",IF(COUNTIFS(Inventory!$A$12:$A$61,B62)=1,VLOOKUP(B62,Inventory!$A$12:$B$61,2,FALSE),"CHECK ITEM CODE"))</f>
        <v/>
      </c>
      <c r="D62" s="4"/>
      <c r="E62" s="8"/>
      <c r="F62" s="4"/>
      <c r="G62" s="4"/>
      <c r="H62" s="1" t="str">
        <f>IF(COUNTA(A62:B62,D62:G62)=0,"",IF(OR(A62="",B62="",D62="",E62=""),"COMPLETE ENTRY",IF(COUNTIFS(Inventory!$A$12:$A$61,B62)&lt;&gt;1,"CHECK ITEM CODE",IF(OR(NOT(ISNUMBER(A62)),A62&lt;=0),"CHECK DATE",IF(AND(D62&lt;&gt;"IN",D62&lt;&gt;"OUT"),"USE IN OR OUT",IF(OR(NOT(ISNUMBER(E62)),E62&lt;=0),"POSITIVE QTY NEEDED","OK"))))))</f>
        <v/>
      </c>
      <c r="I62" s="1"/>
      <c r="J62" s="1"/>
      <c r="K62" s="1"/>
    </row>
    <row r="63" spans="1:11" ht="24" customHeight="1">
      <c r="A63" s="7"/>
      <c r="B63" s="4"/>
      <c r="C63" s="1" t="str">
        <f>IF(B63="","",IF(COUNTIFS(Inventory!$A$12:$A$61,B63)=1,VLOOKUP(B63,Inventory!$A$12:$B$61,2,FALSE),"CHECK ITEM CODE"))</f>
        <v/>
      </c>
      <c r="D63" s="4"/>
      <c r="E63" s="8"/>
      <c r="F63" s="4"/>
      <c r="G63" s="4"/>
      <c r="H63" s="1" t="str">
        <f>IF(COUNTA(A63:B63,D63:G63)=0,"",IF(OR(A63="",B63="",D63="",E63=""),"COMPLETE ENTRY",IF(COUNTIFS(Inventory!$A$12:$A$61,B63)&lt;&gt;1,"CHECK ITEM CODE",IF(OR(NOT(ISNUMBER(A63)),A63&lt;=0),"CHECK DATE",IF(AND(D63&lt;&gt;"IN",D63&lt;&gt;"OUT"),"USE IN OR OUT",IF(OR(NOT(ISNUMBER(E63)),E63&lt;=0),"POSITIVE QTY NEEDED","OK"))))))</f>
        <v/>
      </c>
      <c r="I63" s="1"/>
      <c r="J63" s="1"/>
      <c r="K63" s="1"/>
    </row>
    <row r="64" spans="1:11" ht="24" customHeight="1">
      <c r="A64" s="7"/>
      <c r="B64" s="4"/>
      <c r="C64" s="1" t="str">
        <f>IF(B64="","",IF(COUNTIFS(Inventory!$A$12:$A$61,B64)=1,VLOOKUP(B64,Inventory!$A$12:$B$61,2,FALSE),"CHECK ITEM CODE"))</f>
        <v/>
      </c>
      <c r="D64" s="4"/>
      <c r="E64" s="8"/>
      <c r="F64" s="4"/>
      <c r="G64" s="4"/>
      <c r="H64" s="1" t="str">
        <f>IF(COUNTA(A64:B64,D64:G64)=0,"",IF(OR(A64="",B64="",D64="",E64=""),"COMPLETE ENTRY",IF(COUNTIFS(Inventory!$A$12:$A$61,B64)&lt;&gt;1,"CHECK ITEM CODE",IF(OR(NOT(ISNUMBER(A64)),A64&lt;=0),"CHECK DATE",IF(AND(D64&lt;&gt;"IN",D64&lt;&gt;"OUT"),"USE IN OR OUT",IF(OR(NOT(ISNUMBER(E64)),E64&lt;=0),"POSITIVE QTY NEEDED","OK"))))))</f>
        <v/>
      </c>
      <c r="I64" s="1"/>
      <c r="J64" s="1"/>
      <c r="K64" s="1"/>
    </row>
    <row r="65" spans="1:11" ht="24" customHeight="1">
      <c r="A65" s="7"/>
      <c r="B65" s="4"/>
      <c r="C65" s="1" t="str">
        <f>IF(B65="","",IF(COUNTIFS(Inventory!$A$12:$A$61,B65)=1,VLOOKUP(B65,Inventory!$A$12:$B$61,2,FALSE),"CHECK ITEM CODE"))</f>
        <v/>
      </c>
      <c r="D65" s="4"/>
      <c r="E65" s="8"/>
      <c r="F65" s="4"/>
      <c r="G65" s="4"/>
      <c r="H65" s="1" t="str">
        <f>IF(COUNTA(A65:B65,D65:G65)=0,"",IF(OR(A65="",B65="",D65="",E65=""),"COMPLETE ENTRY",IF(COUNTIFS(Inventory!$A$12:$A$61,B65)&lt;&gt;1,"CHECK ITEM CODE",IF(OR(NOT(ISNUMBER(A65)),A65&lt;=0),"CHECK DATE",IF(AND(D65&lt;&gt;"IN",D65&lt;&gt;"OUT"),"USE IN OR OUT",IF(OR(NOT(ISNUMBER(E65)),E65&lt;=0),"POSITIVE QTY NEEDED","OK"))))))</f>
        <v/>
      </c>
      <c r="I65" s="1"/>
      <c r="J65" s="1"/>
      <c r="K65" s="1"/>
    </row>
    <row r="66" spans="1:11" ht="24" customHeight="1">
      <c r="A66" s="7"/>
      <c r="B66" s="4"/>
      <c r="C66" s="1" t="str">
        <f>IF(B66="","",IF(COUNTIFS(Inventory!$A$12:$A$61,B66)=1,VLOOKUP(B66,Inventory!$A$12:$B$61,2,FALSE),"CHECK ITEM CODE"))</f>
        <v/>
      </c>
      <c r="D66" s="4"/>
      <c r="E66" s="8"/>
      <c r="F66" s="4"/>
      <c r="G66" s="4"/>
      <c r="H66" s="1" t="str">
        <f>IF(COUNTA(A66:B66,D66:G66)=0,"",IF(OR(A66="",B66="",D66="",E66=""),"COMPLETE ENTRY",IF(COUNTIFS(Inventory!$A$12:$A$61,B66)&lt;&gt;1,"CHECK ITEM CODE",IF(OR(NOT(ISNUMBER(A66)),A66&lt;=0),"CHECK DATE",IF(AND(D66&lt;&gt;"IN",D66&lt;&gt;"OUT"),"USE IN OR OUT",IF(OR(NOT(ISNUMBER(E66)),E66&lt;=0),"POSITIVE QTY NEEDED","OK"))))))</f>
        <v/>
      </c>
      <c r="I66" s="1"/>
      <c r="J66" s="1"/>
      <c r="K66" s="1"/>
    </row>
    <row r="67" spans="1:11" ht="24" customHeight="1">
      <c r="A67" s="7"/>
      <c r="B67" s="4"/>
      <c r="C67" s="1" t="str">
        <f>IF(B67="","",IF(COUNTIFS(Inventory!$A$12:$A$61,B67)=1,VLOOKUP(B67,Inventory!$A$12:$B$61,2,FALSE),"CHECK ITEM CODE"))</f>
        <v/>
      </c>
      <c r="D67" s="4"/>
      <c r="E67" s="8"/>
      <c r="F67" s="4"/>
      <c r="G67" s="4"/>
      <c r="H67" s="1" t="str">
        <f>IF(COUNTA(A67:B67,D67:G67)=0,"",IF(OR(A67="",B67="",D67="",E67=""),"COMPLETE ENTRY",IF(COUNTIFS(Inventory!$A$12:$A$61,B67)&lt;&gt;1,"CHECK ITEM CODE",IF(OR(NOT(ISNUMBER(A67)),A67&lt;=0),"CHECK DATE",IF(AND(D67&lt;&gt;"IN",D67&lt;&gt;"OUT"),"USE IN OR OUT",IF(OR(NOT(ISNUMBER(E67)),E67&lt;=0),"POSITIVE QTY NEEDED","OK"))))))</f>
        <v/>
      </c>
      <c r="I67" s="1"/>
      <c r="J67" s="1"/>
      <c r="K67" s="1"/>
    </row>
    <row r="68" spans="1:11" ht="24" customHeight="1">
      <c r="A68" s="7"/>
      <c r="B68" s="4"/>
      <c r="C68" s="1" t="str">
        <f>IF(B68="","",IF(COUNTIFS(Inventory!$A$12:$A$61,B68)=1,VLOOKUP(B68,Inventory!$A$12:$B$61,2,FALSE),"CHECK ITEM CODE"))</f>
        <v/>
      </c>
      <c r="D68" s="4"/>
      <c r="E68" s="8"/>
      <c r="F68" s="4"/>
      <c r="G68" s="4"/>
      <c r="H68" s="1" t="str">
        <f>IF(COUNTA(A68:B68,D68:G68)=0,"",IF(OR(A68="",B68="",D68="",E68=""),"COMPLETE ENTRY",IF(COUNTIFS(Inventory!$A$12:$A$61,B68)&lt;&gt;1,"CHECK ITEM CODE",IF(OR(NOT(ISNUMBER(A68)),A68&lt;=0),"CHECK DATE",IF(AND(D68&lt;&gt;"IN",D68&lt;&gt;"OUT"),"USE IN OR OUT",IF(OR(NOT(ISNUMBER(E68)),E68&lt;=0),"POSITIVE QTY NEEDED","OK"))))))</f>
        <v/>
      </c>
      <c r="I68" s="1"/>
      <c r="J68" s="1"/>
      <c r="K68" s="1"/>
    </row>
    <row r="69" spans="1:11" ht="24" customHeight="1">
      <c r="A69" s="7"/>
      <c r="B69" s="4"/>
      <c r="C69" s="1" t="str">
        <f>IF(B69="","",IF(COUNTIFS(Inventory!$A$12:$A$61,B69)=1,VLOOKUP(B69,Inventory!$A$12:$B$61,2,FALSE),"CHECK ITEM CODE"))</f>
        <v/>
      </c>
      <c r="D69" s="4"/>
      <c r="E69" s="8"/>
      <c r="F69" s="4"/>
      <c r="G69" s="4"/>
      <c r="H69" s="1" t="str">
        <f>IF(COUNTA(A69:B69,D69:G69)=0,"",IF(OR(A69="",B69="",D69="",E69=""),"COMPLETE ENTRY",IF(COUNTIFS(Inventory!$A$12:$A$61,B69)&lt;&gt;1,"CHECK ITEM CODE",IF(OR(NOT(ISNUMBER(A69)),A69&lt;=0),"CHECK DATE",IF(AND(D69&lt;&gt;"IN",D69&lt;&gt;"OUT"),"USE IN OR OUT",IF(OR(NOT(ISNUMBER(E69)),E69&lt;=0),"POSITIVE QTY NEEDED","OK"))))))</f>
        <v/>
      </c>
      <c r="I69" s="1"/>
      <c r="J69" s="1"/>
      <c r="K69" s="1"/>
    </row>
    <row r="70" spans="1:11" ht="24" customHeight="1">
      <c r="A70" s="7"/>
      <c r="B70" s="4"/>
      <c r="C70" s="1" t="str">
        <f>IF(B70="","",IF(COUNTIFS(Inventory!$A$12:$A$61,B70)=1,VLOOKUP(B70,Inventory!$A$12:$B$61,2,FALSE),"CHECK ITEM CODE"))</f>
        <v/>
      </c>
      <c r="D70" s="4"/>
      <c r="E70" s="8"/>
      <c r="F70" s="4"/>
      <c r="G70" s="4"/>
      <c r="H70" s="1" t="str">
        <f>IF(COUNTA(A70:B70,D70:G70)=0,"",IF(OR(A70="",B70="",D70="",E70=""),"COMPLETE ENTRY",IF(COUNTIFS(Inventory!$A$12:$A$61,B70)&lt;&gt;1,"CHECK ITEM CODE",IF(OR(NOT(ISNUMBER(A70)),A70&lt;=0),"CHECK DATE",IF(AND(D70&lt;&gt;"IN",D70&lt;&gt;"OUT"),"USE IN OR OUT",IF(OR(NOT(ISNUMBER(E70)),E70&lt;=0),"POSITIVE QTY NEEDED","OK"))))))</f>
        <v/>
      </c>
      <c r="I70" s="1"/>
      <c r="J70" s="1"/>
      <c r="K70" s="1"/>
    </row>
    <row r="71" spans="1:11" ht="24" customHeight="1">
      <c r="A71" s="7"/>
      <c r="B71" s="4"/>
      <c r="C71" s="1" t="str">
        <f>IF(B71="","",IF(COUNTIFS(Inventory!$A$12:$A$61,B71)=1,VLOOKUP(B71,Inventory!$A$12:$B$61,2,FALSE),"CHECK ITEM CODE"))</f>
        <v/>
      </c>
      <c r="D71" s="4"/>
      <c r="E71" s="8"/>
      <c r="F71" s="4"/>
      <c r="G71" s="4"/>
      <c r="H71" s="1" t="str">
        <f>IF(COUNTA(A71:B71,D71:G71)=0,"",IF(OR(A71="",B71="",D71="",E71=""),"COMPLETE ENTRY",IF(COUNTIFS(Inventory!$A$12:$A$61,B71)&lt;&gt;1,"CHECK ITEM CODE",IF(OR(NOT(ISNUMBER(A71)),A71&lt;=0),"CHECK DATE",IF(AND(D71&lt;&gt;"IN",D71&lt;&gt;"OUT"),"USE IN OR OUT",IF(OR(NOT(ISNUMBER(E71)),E71&lt;=0),"POSITIVE QTY NEEDED","OK"))))))</f>
        <v/>
      </c>
      <c r="I71" s="1"/>
      <c r="J71" s="1"/>
      <c r="K71" s="1"/>
    </row>
    <row r="72" spans="1:11" ht="24" customHeight="1">
      <c r="A72" s="7"/>
      <c r="B72" s="4"/>
      <c r="C72" s="1" t="str">
        <f>IF(B72="","",IF(COUNTIFS(Inventory!$A$12:$A$61,B72)=1,VLOOKUP(B72,Inventory!$A$12:$B$61,2,FALSE),"CHECK ITEM CODE"))</f>
        <v/>
      </c>
      <c r="D72" s="4"/>
      <c r="E72" s="8"/>
      <c r="F72" s="4"/>
      <c r="G72" s="4"/>
      <c r="H72" s="1" t="str">
        <f>IF(COUNTA(A72:B72,D72:G72)=0,"",IF(OR(A72="",B72="",D72="",E72=""),"COMPLETE ENTRY",IF(COUNTIFS(Inventory!$A$12:$A$61,B72)&lt;&gt;1,"CHECK ITEM CODE",IF(OR(NOT(ISNUMBER(A72)),A72&lt;=0),"CHECK DATE",IF(AND(D72&lt;&gt;"IN",D72&lt;&gt;"OUT"),"USE IN OR OUT",IF(OR(NOT(ISNUMBER(E72)),E72&lt;=0),"POSITIVE QTY NEEDED","OK"))))))</f>
        <v/>
      </c>
      <c r="I72" s="1"/>
      <c r="J72" s="1"/>
      <c r="K72" s="1"/>
    </row>
    <row r="73" spans="1:11" ht="24" customHeight="1">
      <c r="A73" s="7"/>
      <c r="B73" s="4"/>
      <c r="C73" s="1" t="str">
        <f>IF(B73="","",IF(COUNTIFS(Inventory!$A$12:$A$61,B73)=1,VLOOKUP(B73,Inventory!$A$12:$B$61,2,FALSE),"CHECK ITEM CODE"))</f>
        <v/>
      </c>
      <c r="D73" s="4"/>
      <c r="E73" s="8"/>
      <c r="F73" s="4"/>
      <c r="G73" s="4"/>
      <c r="H73" s="1" t="str">
        <f>IF(COUNTA(A73:B73,D73:G73)=0,"",IF(OR(A73="",B73="",D73="",E73=""),"COMPLETE ENTRY",IF(COUNTIFS(Inventory!$A$12:$A$61,B73)&lt;&gt;1,"CHECK ITEM CODE",IF(OR(NOT(ISNUMBER(A73)),A73&lt;=0),"CHECK DATE",IF(AND(D73&lt;&gt;"IN",D73&lt;&gt;"OUT"),"USE IN OR OUT",IF(OR(NOT(ISNUMBER(E73)),E73&lt;=0),"POSITIVE QTY NEEDED","OK"))))))</f>
        <v/>
      </c>
      <c r="I73" s="1"/>
      <c r="J73" s="1"/>
      <c r="K73" s="1"/>
    </row>
    <row r="74" spans="1:11" ht="24" customHeight="1">
      <c r="A74" s="7"/>
      <c r="B74" s="4"/>
      <c r="C74" s="1" t="str">
        <f>IF(B74="","",IF(COUNTIFS(Inventory!$A$12:$A$61,B74)=1,VLOOKUP(B74,Inventory!$A$12:$B$61,2,FALSE),"CHECK ITEM CODE"))</f>
        <v/>
      </c>
      <c r="D74" s="4"/>
      <c r="E74" s="8"/>
      <c r="F74" s="4"/>
      <c r="G74" s="4"/>
      <c r="H74" s="1" t="str">
        <f>IF(COUNTA(A74:B74,D74:G74)=0,"",IF(OR(A74="",B74="",D74="",E74=""),"COMPLETE ENTRY",IF(COUNTIFS(Inventory!$A$12:$A$61,B74)&lt;&gt;1,"CHECK ITEM CODE",IF(OR(NOT(ISNUMBER(A74)),A74&lt;=0),"CHECK DATE",IF(AND(D74&lt;&gt;"IN",D74&lt;&gt;"OUT"),"USE IN OR OUT",IF(OR(NOT(ISNUMBER(E74)),E74&lt;=0),"POSITIVE QTY NEEDED","OK"))))))</f>
        <v/>
      </c>
      <c r="I74" s="1"/>
      <c r="J74" s="1"/>
      <c r="K74" s="1"/>
    </row>
    <row r="75" spans="1:11" ht="24" customHeight="1">
      <c r="A75" s="7"/>
      <c r="B75" s="4"/>
      <c r="C75" s="1" t="str">
        <f>IF(B75="","",IF(COUNTIFS(Inventory!$A$12:$A$61,B75)=1,VLOOKUP(B75,Inventory!$A$12:$B$61,2,FALSE),"CHECK ITEM CODE"))</f>
        <v/>
      </c>
      <c r="D75" s="4"/>
      <c r="E75" s="8"/>
      <c r="F75" s="4"/>
      <c r="G75" s="4"/>
      <c r="H75" s="1" t="str">
        <f>IF(COUNTA(A75:B75,D75:G75)=0,"",IF(OR(A75="",B75="",D75="",E75=""),"COMPLETE ENTRY",IF(COUNTIFS(Inventory!$A$12:$A$61,B75)&lt;&gt;1,"CHECK ITEM CODE",IF(OR(NOT(ISNUMBER(A75)),A75&lt;=0),"CHECK DATE",IF(AND(D75&lt;&gt;"IN",D75&lt;&gt;"OUT"),"USE IN OR OUT",IF(OR(NOT(ISNUMBER(E75)),E75&lt;=0),"POSITIVE QTY NEEDED","OK"))))))</f>
        <v/>
      </c>
      <c r="I75" s="1"/>
      <c r="J75" s="1"/>
      <c r="K75" s="1"/>
    </row>
    <row r="76" spans="1:11" ht="24" customHeight="1">
      <c r="A76" s="7"/>
      <c r="B76" s="4"/>
      <c r="C76" s="1" t="str">
        <f>IF(B76="","",IF(COUNTIFS(Inventory!$A$12:$A$61,B76)=1,VLOOKUP(B76,Inventory!$A$12:$B$61,2,FALSE),"CHECK ITEM CODE"))</f>
        <v/>
      </c>
      <c r="D76" s="4"/>
      <c r="E76" s="8"/>
      <c r="F76" s="4"/>
      <c r="G76" s="4"/>
      <c r="H76" s="1" t="str">
        <f>IF(COUNTA(A76:B76,D76:G76)=0,"",IF(OR(A76="",B76="",D76="",E76=""),"COMPLETE ENTRY",IF(COUNTIFS(Inventory!$A$12:$A$61,B76)&lt;&gt;1,"CHECK ITEM CODE",IF(OR(NOT(ISNUMBER(A76)),A76&lt;=0),"CHECK DATE",IF(AND(D76&lt;&gt;"IN",D76&lt;&gt;"OUT"),"USE IN OR OUT",IF(OR(NOT(ISNUMBER(E76)),E76&lt;=0),"POSITIVE QTY NEEDED","OK"))))))</f>
        <v/>
      </c>
      <c r="I76" s="1"/>
      <c r="J76" s="1"/>
      <c r="K76" s="1"/>
    </row>
    <row r="77" spans="1:11" ht="24" customHeight="1">
      <c r="A77" s="7"/>
      <c r="B77" s="4"/>
      <c r="C77" s="1" t="str">
        <f>IF(B77="","",IF(COUNTIFS(Inventory!$A$12:$A$61,B77)=1,VLOOKUP(B77,Inventory!$A$12:$B$61,2,FALSE),"CHECK ITEM CODE"))</f>
        <v/>
      </c>
      <c r="D77" s="4"/>
      <c r="E77" s="8"/>
      <c r="F77" s="4"/>
      <c r="G77" s="4"/>
      <c r="H77" s="1" t="str">
        <f>IF(COUNTA(A77:B77,D77:G77)=0,"",IF(OR(A77="",B77="",D77="",E77=""),"COMPLETE ENTRY",IF(COUNTIFS(Inventory!$A$12:$A$61,B77)&lt;&gt;1,"CHECK ITEM CODE",IF(OR(NOT(ISNUMBER(A77)),A77&lt;=0),"CHECK DATE",IF(AND(D77&lt;&gt;"IN",D77&lt;&gt;"OUT"),"USE IN OR OUT",IF(OR(NOT(ISNUMBER(E77)),E77&lt;=0),"POSITIVE QTY NEEDED","OK"))))))</f>
        <v/>
      </c>
      <c r="I77" s="1"/>
      <c r="J77" s="1"/>
      <c r="K77" s="1"/>
    </row>
    <row r="78" spans="1:11" ht="24" customHeight="1">
      <c r="A78" s="7"/>
      <c r="B78" s="4"/>
      <c r="C78" s="1" t="str">
        <f>IF(B78="","",IF(COUNTIFS(Inventory!$A$12:$A$61,B78)=1,VLOOKUP(B78,Inventory!$A$12:$B$61,2,FALSE),"CHECK ITEM CODE"))</f>
        <v/>
      </c>
      <c r="D78" s="4"/>
      <c r="E78" s="8"/>
      <c r="F78" s="4"/>
      <c r="G78" s="4"/>
      <c r="H78" s="1" t="str">
        <f>IF(COUNTA(A78:B78,D78:G78)=0,"",IF(OR(A78="",B78="",D78="",E78=""),"COMPLETE ENTRY",IF(COUNTIFS(Inventory!$A$12:$A$61,B78)&lt;&gt;1,"CHECK ITEM CODE",IF(OR(NOT(ISNUMBER(A78)),A78&lt;=0),"CHECK DATE",IF(AND(D78&lt;&gt;"IN",D78&lt;&gt;"OUT"),"USE IN OR OUT",IF(OR(NOT(ISNUMBER(E78)),E78&lt;=0),"POSITIVE QTY NEEDED","OK"))))))</f>
        <v/>
      </c>
      <c r="I78" s="1"/>
      <c r="J78" s="1"/>
      <c r="K78" s="1"/>
    </row>
    <row r="79" spans="1:11" ht="24" customHeight="1">
      <c r="A79" s="7"/>
      <c r="B79" s="4"/>
      <c r="C79" s="1" t="str">
        <f>IF(B79="","",IF(COUNTIFS(Inventory!$A$12:$A$61,B79)=1,VLOOKUP(B79,Inventory!$A$12:$B$61,2,FALSE),"CHECK ITEM CODE"))</f>
        <v/>
      </c>
      <c r="D79" s="4"/>
      <c r="E79" s="8"/>
      <c r="F79" s="4"/>
      <c r="G79" s="4"/>
      <c r="H79" s="1" t="str">
        <f>IF(COUNTA(A79:B79,D79:G79)=0,"",IF(OR(A79="",B79="",D79="",E79=""),"COMPLETE ENTRY",IF(COUNTIFS(Inventory!$A$12:$A$61,B79)&lt;&gt;1,"CHECK ITEM CODE",IF(OR(NOT(ISNUMBER(A79)),A79&lt;=0),"CHECK DATE",IF(AND(D79&lt;&gt;"IN",D79&lt;&gt;"OUT"),"USE IN OR OUT",IF(OR(NOT(ISNUMBER(E79)),E79&lt;=0),"POSITIVE QTY NEEDED","OK"))))))</f>
        <v/>
      </c>
      <c r="I79" s="1"/>
      <c r="J79" s="1"/>
      <c r="K79" s="1"/>
    </row>
    <row r="80" spans="1:11" ht="24" customHeight="1">
      <c r="A80" s="7"/>
      <c r="B80" s="4"/>
      <c r="C80" s="1" t="str">
        <f>IF(B80="","",IF(COUNTIFS(Inventory!$A$12:$A$61,B80)=1,VLOOKUP(B80,Inventory!$A$12:$B$61,2,FALSE),"CHECK ITEM CODE"))</f>
        <v/>
      </c>
      <c r="D80" s="4"/>
      <c r="E80" s="8"/>
      <c r="F80" s="4"/>
      <c r="G80" s="4"/>
      <c r="H80" s="1" t="str">
        <f>IF(COUNTA(A80:B80,D80:G80)=0,"",IF(OR(A80="",B80="",D80="",E80=""),"COMPLETE ENTRY",IF(COUNTIFS(Inventory!$A$12:$A$61,B80)&lt;&gt;1,"CHECK ITEM CODE",IF(OR(NOT(ISNUMBER(A80)),A80&lt;=0),"CHECK DATE",IF(AND(D80&lt;&gt;"IN",D80&lt;&gt;"OUT"),"USE IN OR OUT",IF(OR(NOT(ISNUMBER(E80)),E80&lt;=0),"POSITIVE QTY NEEDED","OK"))))))</f>
        <v/>
      </c>
      <c r="I80" s="1"/>
      <c r="J80" s="1"/>
      <c r="K80" s="1"/>
    </row>
    <row r="81" spans="1:11" ht="24" customHeight="1">
      <c r="A81" s="7"/>
      <c r="B81" s="4"/>
      <c r="C81" s="1" t="str">
        <f>IF(B81="","",IF(COUNTIFS(Inventory!$A$12:$A$61,B81)=1,VLOOKUP(B81,Inventory!$A$12:$B$61,2,FALSE),"CHECK ITEM CODE"))</f>
        <v/>
      </c>
      <c r="D81" s="4"/>
      <c r="E81" s="8"/>
      <c r="F81" s="4"/>
      <c r="G81" s="4"/>
      <c r="H81" s="1" t="str">
        <f>IF(COUNTA(A81:B81,D81:G81)=0,"",IF(OR(A81="",B81="",D81="",E81=""),"COMPLETE ENTRY",IF(COUNTIFS(Inventory!$A$12:$A$61,B81)&lt;&gt;1,"CHECK ITEM CODE",IF(OR(NOT(ISNUMBER(A81)),A81&lt;=0),"CHECK DATE",IF(AND(D81&lt;&gt;"IN",D81&lt;&gt;"OUT"),"USE IN OR OUT",IF(OR(NOT(ISNUMBER(E81)),E81&lt;=0),"POSITIVE QTY NEEDED","OK"))))))</f>
        <v/>
      </c>
      <c r="I81" s="1"/>
      <c r="J81" s="1"/>
      <c r="K81" s="1"/>
    </row>
    <row r="82" spans="1:11" ht="24" customHeight="1">
      <c r="A82" s="7"/>
      <c r="B82" s="4"/>
      <c r="C82" s="1" t="str">
        <f>IF(B82="","",IF(COUNTIFS(Inventory!$A$12:$A$61,B82)=1,VLOOKUP(B82,Inventory!$A$12:$B$61,2,FALSE),"CHECK ITEM CODE"))</f>
        <v/>
      </c>
      <c r="D82" s="4"/>
      <c r="E82" s="8"/>
      <c r="F82" s="4"/>
      <c r="G82" s="4"/>
      <c r="H82" s="1" t="str">
        <f>IF(COUNTA(A82:B82,D82:G82)=0,"",IF(OR(A82="",B82="",D82="",E82=""),"COMPLETE ENTRY",IF(COUNTIFS(Inventory!$A$12:$A$61,B82)&lt;&gt;1,"CHECK ITEM CODE",IF(OR(NOT(ISNUMBER(A82)),A82&lt;=0),"CHECK DATE",IF(AND(D82&lt;&gt;"IN",D82&lt;&gt;"OUT"),"USE IN OR OUT",IF(OR(NOT(ISNUMBER(E82)),E82&lt;=0),"POSITIVE QTY NEEDED","OK"))))))</f>
        <v/>
      </c>
      <c r="I82" s="1"/>
      <c r="J82" s="1"/>
      <c r="K82" s="1"/>
    </row>
    <row r="83" spans="1:11" ht="24" customHeight="1">
      <c r="A83" s="7"/>
      <c r="B83" s="4"/>
      <c r="C83" s="1" t="str">
        <f>IF(B83="","",IF(COUNTIFS(Inventory!$A$12:$A$61,B83)=1,VLOOKUP(B83,Inventory!$A$12:$B$61,2,FALSE),"CHECK ITEM CODE"))</f>
        <v/>
      </c>
      <c r="D83" s="4"/>
      <c r="E83" s="8"/>
      <c r="F83" s="4"/>
      <c r="G83" s="4"/>
      <c r="H83" s="1" t="str">
        <f>IF(COUNTA(A83:B83,D83:G83)=0,"",IF(OR(A83="",B83="",D83="",E83=""),"COMPLETE ENTRY",IF(COUNTIFS(Inventory!$A$12:$A$61,B83)&lt;&gt;1,"CHECK ITEM CODE",IF(OR(NOT(ISNUMBER(A83)),A83&lt;=0),"CHECK DATE",IF(AND(D83&lt;&gt;"IN",D83&lt;&gt;"OUT"),"USE IN OR OUT",IF(OR(NOT(ISNUMBER(E83)),E83&lt;=0),"POSITIVE QTY NEEDED","OK"))))))</f>
        <v/>
      </c>
      <c r="I83" s="1"/>
      <c r="J83" s="1"/>
      <c r="K83" s="1"/>
    </row>
    <row r="84" spans="1:11" ht="24" customHeight="1">
      <c r="A84" s="7"/>
      <c r="B84" s="4"/>
      <c r="C84" s="1" t="str">
        <f>IF(B84="","",IF(COUNTIFS(Inventory!$A$12:$A$61,B84)=1,VLOOKUP(B84,Inventory!$A$12:$B$61,2,FALSE),"CHECK ITEM CODE"))</f>
        <v/>
      </c>
      <c r="D84" s="4"/>
      <c r="E84" s="8"/>
      <c r="F84" s="4"/>
      <c r="G84" s="4"/>
      <c r="H84" s="1" t="str">
        <f>IF(COUNTA(A84:B84,D84:G84)=0,"",IF(OR(A84="",B84="",D84="",E84=""),"COMPLETE ENTRY",IF(COUNTIFS(Inventory!$A$12:$A$61,B84)&lt;&gt;1,"CHECK ITEM CODE",IF(OR(NOT(ISNUMBER(A84)),A84&lt;=0),"CHECK DATE",IF(AND(D84&lt;&gt;"IN",D84&lt;&gt;"OUT"),"USE IN OR OUT",IF(OR(NOT(ISNUMBER(E84)),E84&lt;=0),"POSITIVE QTY NEEDED","OK"))))))</f>
        <v/>
      </c>
      <c r="I84" s="1"/>
      <c r="J84" s="1"/>
      <c r="K84" s="1"/>
    </row>
    <row r="85" spans="1:11" ht="24" customHeight="1">
      <c r="A85" s="7"/>
      <c r="B85" s="4"/>
      <c r="C85" s="1" t="str">
        <f>IF(B85="","",IF(COUNTIFS(Inventory!$A$12:$A$61,B85)=1,VLOOKUP(B85,Inventory!$A$12:$B$61,2,FALSE),"CHECK ITEM CODE"))</f>
        <v/>
      </c>
      <c r="D85" s="4"/>
      <c r="E85" s="8"/>
      <c r="F85" s="4"/>
      <c r="G85" s="4"/>
      <c r="H85" s="1" t="str">
        <f>IF(COUNTA(A85:B85,D85:G85)=0,"",IF(OR(A85="",B85="",D85="",E85=""),"COMPLETE ENTRY",IF(COUNTIFS(Inventory!$A$12:$A$61,B85)&lt;&gt;1,"CHECK ITEM CODE",IF(OR(NOT(ISNUMBER(A85)),A85&lt;=0),"CHECK DATE",IF(AND(D85&lt;&gt;"IN",D85&lt;&gt;"OUT"),"USE IN OR OUT",IF(OR(NOT(ISNUMBER(E85)),E85&lt;=0),"POSITIVE QTY NEEDED","OK"))))))</f>
        <v/>
      </c>
      <c r="I85" s="1"/>
      <c r="J85" s="1"/>
      <c r="K85" s="1"/>
    </row>
    <row r="86" spans="1:11" ht="24" customHeight="1">
      <c r="A86" s="7"/>
      <c r="B86" s="4"/>
      <c r="C86" s="1" t="str">
        <f>IF(B86="","",IF(COUNTIFS(Inventory!$A$12:$A$61,B86)=1,VLOOKUP(B86,Inventory!$A$12:$B$61,2,FALSE),"CHECK ITEM CODE"))</f>
        <v/>
      </c>
      <c r="D86" s="4"/>
      <c r="E86" s="8"/>
      <c r="F86" s="4"/>
      <c r="G86" s="4"/>
      <c r="H86" s="1" t="str">
        <f>IF(COUNTA(A86:B86,D86:G86)=0,"",IF(OR(A86="",B86="",D86="",E86=""),"COMPLETE ENTRY",IF(COUNTIFS(Inventory!$A$12:$A$61,B86)&lt;&gt;1,"CHECK ITEM CODE",IF(OR(NOT(ISNUMBER(A86)),A86&lt;=0),"CHECK DATE",IF(AND(D86&lt;&gt;"IN",D86&lt;&gt;"OUT"),"USE IN OR OUT",IF(OR(NOT(ISNUMBER(E86)),E86&lt;=0),"POSITIVE QTY NEEDED","OK"))))))</f>
        <v/>
      </c>
      <c r="I86" s="1"/>
      <c r="J86" s="1"/>
      <c r="K86" s="1"/>
    </row>
    <row r="87" spans="1:11" ht="24" customHeight="1">
      <c r="A87" s="7"/>
      <c r="B87" s="4"/>
      <c r="C87" s="1" t="str">
        <f>IF(B87="","",IF(COUNTIFS(Inventory!$A$12:$A$61,B87)=1,VLOOKUP(B87,Inventory!$A$12:$B$61,2,FALSE),"CHECK ITEM CODE"))</f>
        <v/>
      </c>
      <c r="D87" s="4"/>
      <c r="E87" s="8"/>
      <c r="F87" s="4"/>
      <c r="G87" s="4"/>
      <c r="H87" s="1" t="str">
        <f>IF(COUNTA(A87:B87,D87:G87)=0,"",IF(OR(A87="",B87="",D87="",E87=""),"COMPLETE ENTRY",IF(COUNTIFS(Inventory!$A$12:$A$61,B87)&lt;&gt;1,"CHECK ITEM CODE",IF(OR(NOT(ISNUMBER(A87)),A87&lt;=0),"CHECK DATE",IF(AND(D87&lt;&gt;"IN",D87&lt;&gt;"OUT"),"USE IN OR OUT",IF(OR(NOT(ISNUMBER(E87)),E87&lt;=0),"POSITIVE QTY NEEDED","OK"))))))</f>
        <v/>
      </c>
      <c r="I87" s="1"/>
      <c r="J87" s="1"/>
      <c r="K87" s="1"/>
    </row>
    <row r="88" spans="1:11" ht="24" customHeight="1">
      <c r="A88" s="7"/>
      <c r="B88" s="4"/>
      <c r="C88" s="1" t="str">
        <f>IF(B88="","",IF(COUNTIFS(Inventory!$A$12:$A$61,B88)=1,VLOOKUP(B88,Inventory!$A$12:$B$61,2,FALSE),"CHECK ITEM CODE"))</f>
        <v/>
      </c>
      <c r="D88" s="4"/>
      <c r="E88" s="8"/>
      <c r="F88" s="4"/>
      <c r="G88" s="4"/>
      <c r="H88" s="1" t="str">
        <f>IF(COUNTA(A88:B88,D88:G88)=0,"",IF(OR(A88="",B88="",D88="",E88=""),"COMPLETE ENTRY",IF(COUNTIFS(Inventory!$A$12:$A$61,B88)&lt;&gt;1,"CHECK ITEM CODE",IF(OR(NOT(ISNUMBER(A88)),A88&lt;=0),"CHECK DATE",IF(AND(D88&lt;&gt;"IN",D88&lt;&gt;"OUT"),"USE IN OR OUT",IF(OR(NOT(ISNUMBER(E88)),E88&lt;=0),"POSITIVE QTY NEEDED","OK"))))))</f>
        <v/>
      </c>
      <c r="I88" s="1"/>
      <c r="J88" s="1"/>
      <c r="K88" s="1"/>
    </row>
    <row r="89" spans="1:11" ht="24" customHeight="1">
      <c r="A89" s="7"/>
      <c r="B89" s="4"/>
      <c r="C89" s="1" t="str">
        <f>IF(B89="","",IF(COUNTIFS(Inventory!$A$12:$A$61,B89)=1,VLOOKUP(B89,Inventory!$A$12:$B$61,2,FALSE),"CHECK ITEM CODE"))</f>
        <v/>
      </c>
      <c r="D89" s="4"/>
      <c r="E89" s="8"/>
      <c r="F89" s="4"/>
      <c r="G89" s="4"/>
      <c r="H89" s="1" t="str">
        <f>IF(COUNTA(A89:B89,D89:G89)=0,"",IF(OR(A89="",B89="",D89="",E89=""),"COMPLETE ENTRY",IF(COUNTIFS(Inventory!$A$12:$A$61,B89)&lt;&gt;1,"CHECK ITEM CODE",IF(OR(NOT(ISNUMBER(A89)),A89&lt;=0),"CHECK DATE",IF(AND(D89&lt;&gt;"IN",D89&lt;&gt;"OUT"),"USE IN OR OUT",IF(OR(NOT(ISNUMBER(E89)),E89&lt;=0),"POSITIVE QTY NEEDED","OK"))))))</f>
        <v/>
      </c>
      <c r="I89" s="1"/>
      <c r="J89" s="1"/>
      <c r="K89" s="1"/>
    </row>
    <row r="90" spans="1:11" ht="24" customHeight="1">
      <c r="A90" s="7"/>
      <c r="B90" s="4"/>
      <c r="C90" s="1" t="str">
        <f>IF(B90="","",IF(COUNTIFS(Inventory!$A$12:$A$61,B90)=1,VLOOKUP(B90,Inventory!$A$12:$B$61,2,FALSE),"CHECK ITEM CODE"))</f>
        <v/>
      </c>
      <c r="D90" s="4"/>
      <c r="E90" s="8"/>
      <c r="F90" s="4"/>
      <c r="G90" s="4"/>
      <c r="H90" s="1" t="str">
        <f>IF(COUNTA(A90:B90,D90:G90)=0,"",IF(OR(A90="",B90="",D90="",E90=""),"COMPLETE ENTRY",IF(COUNTIFS(Inventory!$A$12:$A$61,B90)&lt;&gt;1,"CHECK ITEM CODE",IF(OR(NOT(ISNUMBER(A90)),A90&lt;=0),"CHECK DATE",IF(AND(D90&lt;&gt;"IN",D90&lt;&gt;"OUT"),"USE IN OR OUT",IF(OR(NOT(ISNUMBER(E90)),E90&lt;=0),"POSITIVE QTY NEEDED","OK"))))))</f>
        <v/>
      </c>
      <c r="I90" s="1"/>
      <c r="J90" s="1"/>
      <c r="K90" s="1"/>
    </row>
    <row r="91" spans="1:11" ht="24" customHeight="1">
      <c r="A91" s="7"/>
      <c r="B91" s="4"/>
      <c r="C91" s="1" t="str">
        <f>IF(B91="","",IF(COUNTIFS(Inventory!$A$12:$A$61,B91)=1,VLOOKUP(B91,Inventory!$A$12:$B$61,2,FALSE),"CHECK ITEM CODE"))</f>
        <v/>
      </c>
      <c r="D91" s="4"/>
      <c r="E91" s="8"/>
      <c r="F91" s="4"/>
      <c r="G91" s="4"/>
      <c r="H91" s="1" t="str">
        <f>IF(COUNTA(A91:B91,D91:G91)=0,"",IF(OR(A91="",B91="",D91="",E91=""),"COMPLETE ENTRY",IF(COUNTIFS(Inventory!$A$12:$A$61,B91)&lt;&gt;1,"CHECK ITEM CODE",IF(OR(NOT(ISNUMBER(A91)),A91&lt;=0),"CHECK DATE",IF(AND(D91&lt;&gt;"IN",D91&lt;&gt;"OUT"),"USE IN OR OUT",IF(OR(NOT(ISNUMBER(E91)),E91&lt;=0),"POSITIVE QTY NEEDED","OK"))))))</f>
        <v/>
      </c>
      <c r="I91" s="1"/>
      <c r="J91" s="1"/>
      <c r="K91" s="1"/>
    </row>
    <row r="92" spans="1:11" ht="24" customHeight="1">
      <c r="A92" s="7"/>
      <c r="B92" s="4"/>
      <c r="C92" s="1" t="str">
        <f>IF(B92="","",IF(COUNTIFS(Inventory!$A$12:$A$61,B92)=1,VLOOKUP(B92,Inventory!$A$12:$B$61,2,FALSE),"CHECK ITEM CODE"))</f>
        <v/>
      </c>
      <c r="D92" s="4"/>
      <c r="E92" s="8"/>
      <c r="F92" s="4"/>
      <c r="G92" s="4"/>
      <c r="H92" s="1" t="str">
        <f>IF(COUNTA(A92:B92,D92:G92)=0,"",IF(OR(A92="",B92="",D92="",E92=""),"COMPLETE ENTRY",IF(COUNTIFS(Inventory!$A$12:$A$61,B92)&lt;&gt;1,"CHECK ITEM CODE",IF(OR(NOT(ISNUMBER(A92)),A92&lt;=0),"CHECK DATE",IF(AND(D92&lt;&gt;"IN",D92&lt;&gt;"OUT"),"USE IN OR OUT",IF(OR(NOT(ISNUMBER(E92)),E92&lt;=0),"POSITIVE QTY NEEDED","OK"))))))</f>
        <v/>
      </c>
      <c r="I92" s="1"/>
      <c r="J92" s="1"/>
      <c r="K92" s="1"/>
    </row>
    <row r="93" spans="1:11" ht="24" customHeight="1">
      <c r="A93" s="7"/>
      <c r="B93" s="4"/>
      <c r="C93" s="1" t="str">
        <f>IF(B93="","",IF(COUNTIFS(Inventory!$A$12:$A$61,B93)=1,VLOOKUP(B93,Inventory!$A$12:$B$61,2,FALSE),"CHECK ITEM CODE"))</f>
        <v/>
      </c>
      <c r="D93" s="4"/>
      <c r="E93" s="8"/>
      <c r="F93" s="4"/>
      <c r="G93" s="4"/>
      <c r="H93" s="1" t="str">
        <f>IF(COUNTA(A93:B93,D93:G93)=0,"",IF(OR(A93="",B93="",D93="",E93=""),"COMPLETE ENTRY",IF(COUNTIFS(Inventory!$A$12:$A$61,B93)&lt;&gt;1,"CHECK ITEM CODE",IF(OR(NOT(ISNUMBER(A93)),A93&lt;=0),"CHECK DATE",IF(AND(D93&lt;&gt;"IN",D93&lt;&gt;"OUT"),"USE IN OR OUT",IF(OR(NOT(ISNUMBER(E93)),E93&lt;=0),"POSITIVE QTY NEEDED","OK"))))))</f>
        <v/>
      </c>
      <c r="I93" s="1"/>
      <c r="J93" s="1"/>
      <c r="K93" s="1"/>
    </row>
    <row r="94" spans="1:11" ht="24" customHeight="1">
      <c r="A94" s="7"/>
      <c r="B94" s="4"/>
      <c r="C94" s="1" t="str">
        <f>IF(B94="","",IF(COUNTIFS(Inventory!$A$12:$A$61,B94)=1,VLOOKUP(B94,Inventory!$A$12:$B$61,2,FALSE),"CHECK ITEM CODE"))</f>
        <v/>
      </c>
      <c r="D94" s="4"/>
      <c r="E94" s="8"/>
      <c r="F94" s="4"/>
      <c r="G94" s="4"/>
      <c r="H94" s="1" t="str">
        <f>IF(COUNTA(A94:B94,D94:G94)=0,"",IF(OR(A94="",B94="",D94="",E94=""),"COMPLETE ENTRY",IF(COUNTIFS(Inventory!$A$12:$A$61,B94)&lt;&gt;1,"CHECK ITEM CODE",IF(OR(NOT(ISNUMBER(A94)),A94&lt;=0),"CHECK DATE",IF(AND(D94&lt;&gt;"IN",D94&lt;&gt;"OUT"),"USE IN OR OUT",IF(OR(NOT(ISNUMBER(E94)),E94&lt;=0),"POSITIVE QTY NEEDED","OK"))))))</f>
        <v/>
      </c>
      <c r="I94" s="1"/>
      <c r="J94" s="1"/>
      <c r="K94" s="1"/>
    </row>
    <row r="95" spans="1:11" ht="24" customHeight="1">
      <c r="A95" s="7"/>
      <c r="B95" s="4"/>
      <c r="C95" s="1" t="str">
        <f>IF(B95="","",IF(COUNTIFS(Inventory!$A$12:$A$61,B95)=1,VLOOKUP(B95,Inventory!$A$12:$B$61,2,FALSE),"CHECK ITEM CODE"))</f>
        <v/>
      </c>
      <c r="D95" s="4"/>
      <c r="E95" s="8"/>
      <c r="F95" s="4"/>
      <c r="G95" s="4"/>
      <c r="H95" s="1" t="str">
        <f>IF(COUNTA(A95:B95,D95:G95)=0,"",IF(OR(A95="",B95="",D95="",E95=""),"COMPLETE ENTRY",IF(COUNTIFS(Inventory!$A$12:$A$61,B95)&lt;&gt;1,"CHECK ITEM CODE",IF(OR(NOT(ISNUMBER(A95)),A95&lt;=0),"CHECK DATE",IF(AND(D95&lt;&gt;"IN",D95&lt;&gt;"OUT"),"USE IN OR OUT",IF(OR(NOT(ISNUMBER(E95)),E95&lt;=0),"POSITIVE QTY NEEDED","OK"))))))</f>
        <v/>
      </c>
      <c r="I95" s="1"/>
      <c r="J95" s="1"/>
      <c r="K95" s="1"/>
    </row>
    <row r="96" spans="1:11" ht="24" customHeight="1">
      <c r="A96" s="7"/>
      <c r="B96" s="4"/>
      <c r="C96" s="1" t="str">
        <f>IF(B96="","",IF(COUNTIFS(Inventory!$A$12:$A$61,B96)=1,VLOOKUP(B96,Inventory!$A$12:$B$61,2,FALSE),"CHECK ITEM CODE"))</f>
        <v/>
      </c>
      <c r="D96" s="4"/>
      <c r="E96" s="8"/>
      <c r="F96" s="4"/>
      <c r="G96" s="4"/>
      <c r="H96" s="1" t="str">
        <f>IF(COUNTA(A96:B96,D96:G96)=0,"",IF(OR(A96="",B96="",D96="",E96=""),"COMPLETE ENTRY",IF(COUNTIFS(Inventory!$A$12:$A$61,B96)&lt;&gt;1,"CHECK ITEM CODE",IF(OR(NOT(ISNUMBER(A96)),A96&lt;=0),"CHECK DATE",IF(AND(D96&lt;&gt;"IN",D96&lt;&gt;"OUT"),"USE IN OR OUT",IF(OR(NOT(ISNUMBER(E96)),E96&lt;=0),"POSITIVE QTY NEEDED","OK"))))))</f>
        <v/>
      </c>
      <c r="I96" s="1"/>
      <c r="J96" s="1"/>
      <c r="K96" s="1"/>
    </row>
    <row r="97" spans="1:11" ht="24" customHeight="1">
      <c r="A97" s="7"/>
      <c r="B97" s="4"/>
      <c r="C97" s="1" t="str">
        <f>IF(B97="","",IF(COUNTIFS(Inventory!$A$12:$A$61,B97)=1,VLOOKUP(B97,Inventory!$A$12:$B$61,2,FALSE),"CHECK ITEM CODE"))</f>
        <v/>
      </c>
      <c r="D97" s="4"/>
      <c r="E97" s="8"/>
      <c r="F97" s="4"/>
      <c r="G97" s="4"/>
      <c r="H97" s="1" t="str">
        <f>IF(COUNTA(A97:B97,D97:G97)=0,"",IF(OR(A97="",B97="",D97="",E97=""),"COMPLETE ENTRY",IF(COUNTIFS(Inventory!$A$12:$A$61,B97)&lt;&gt;1,"CHECK ITEM CODE",IF(OR(NOT(ISNUMBER(A97)),A97&lt;=0),"CHECK DATE",IF(AND(D97&lt;&gt;"IN",D97&lt;&gt;"OUT"),"USE IN OR OUT",IF(OR(NOT(ISNUMBER(E97)),E97&lt;=0),"POSITIVE QTY NEEDED","OK"))))))</f>
        <v/>
      </c>
      <c r="I97" s="1"/>
      <c r="J97" s="1"/>
      <c r="K97" s="1"/>
    </row>
    <row r="98" spans="1:11" ht="24" customHeight="1">
      <c r="A98" s="7"/>
      <c r="B98" s="4"/>
      <c r="C98" s="1" t="str">
        <f>IF(B98="","",IF(COUNTIFS(Inventory!$A$12:$A$61,B98)=1,VLOOKUP(B98,Inventory!$A$12:$B$61,2,FALSE),"CHECK ITEM CODE"))</f>
        <v/>
      </c>
      <c r="D98" s="4"/>
      <c r="E98" s="8"/>
      <c r="F98" s="4"/>
      <c r="G98" s="4"/>
      <c r="H98" s="1" t="str">
        <f>IF(COUNTA(A98:B98,D98:G98)=0,"",IF(OR(A98="",B98="",D98="",E98=""),"COMPLETE ENTRY",IF(COUNTIFS(Inventory!$A$12:$A$61,B98)&lt;&gt;1,"CHECK ITEM CODE",IF(OR(NOT(ISNUMBER(A98)),A98&lt;=0),"CHECK DATE",IF(AND(D98&lt;&gt;"IN",D98&lt;&gt;"OUT"),"USE IN OR OUT",IF(OR(NOT(ISNUMBER(E98)),E98&lt;=0),"POSITIVE QTY NEEDED","OK"))))))</f>
        <v/>
      </c>
      <c r="I98" s="1"/>
      <c r="J98" s="1"/>
      <c r="K98" s="1"/>
    </row>
    <row r="99" spans="1:11" ht="24" customHeight="1">
      <c r="A99" s="7"/>
      <c r="B99" s="4"/>
      <c r="C99" s="1" t="str">
        <f>IF(B99="","",IF(COUNTIFS(Inventory!$A$12:$A$61,B99)=1,VLOOKUP(B99,Inventory!$A$12:$B$61,2,FALSE),"CHECK ITEM CODE"))</f>
        <v/>
      </c>
      <c r="D99" s="4"/>
      <c r="E99" s="8"/>
      <c r="F99" s="4"/>
      <c r="G99" s="4"/>
      <c r="H99" s="1" t="str">
        <f>IF(COUNTA(A99:B99,D99:G99)=0,"",IF(OR(A99="",B99="",D99="",E99=""),"COMPLETE ENTRY",IF(COUNTIFS(Inventory!$A$12:$A$61,B99)&lt;&gt;1,"CHECK ITEM CODE",IF(OR(NOT(ISNUMBER(A99)),A99&lt;=0),"CHECK DATE",IF(AND(D99&lt;&gt;"IN",D99&lt;&gt;"OUT"),"USE IN OR OUT",IF(OR(NOT(ISNUMBER(E99)),E99&lt;=0),"POSITIVE QTY NEEDED","OK"))))))</f>
        <v/>
      </c>
      <c r="I99" s="1"/>
      <c r="J99" s="1"/>
      <c r="K99" s="1"/>
    </row>
    <row r="100" spans="1:11" ht="24" customHeight="1">
      <c r="A100" s="7"/>
      <c r="B100" s="4"/>
      <c r="C100" s="1" t="str">
        <f>IF(B100="","",IF(COUNTIFS(Inventory!$A$12:$A$61,B100)=1,VLOOKUP(B100,Inventory!$A$12:$B$61,2,FALSE),"CHECK ITEM CODE"))</f>
        <v/>
      </c>
      <c r="D100" s="4"/>
      <c r="E100" s="8"/>
      <c r="F100" s="4"/>
      <c r="G100" s="4"/>
      <c r="H100" s="1" t="str">
        <f>IF(COUNTA(A100:B100,D100:G100)=0,"",IF(OR(A100="",B100="",D100="",E100=""),"COMPLETE ENTRY",IF(COUNTIFS(Inventory!$A$12:$A$61,B100)&lt;&gt;1,"CHECK ITEM CODE",IF(OR(NOT(ISNUMBER(A100)),A100&lt;=0),"CHECK DATE",IF(AND(D100&lt;&gt;"IN",D100&lt;&gt;"OUT"),"USE IN OR OUT",IF(OR(NOT(ISNUMBER(E100)),E100&lt;=0),"POSITIVE QTY NEEDED","OK"))))))</f>
        <v/>
      </c>
      <c r="I100" s="1"/>
      <c r="J100" s="1"/>
      <c r="K100" s="1"/>
    </row>
    <row r="101" spans="1:11" ht="24" customHeight="1">
      <c r="A101" s="7"/>
      <c r="B101" s="4"/>
      <c r="C101" s="1" t="str">
        <f>IF(B101="","",IF(COUNTIFS(Inventory!$A$12:$A$61,B101)=1,VLOOKUP(B101,Inventory!$A$12:$B$61,2,FALSE),"CHECK ITEM CODE"))</f>
        <v/>
      </c>
      <c r="D101" s="4"/>
      <c r="E101" s="8"/>
      <c r="F101" s="4"/>
      <c r="G101" s="4"/>
      <c r="H101" s="1" t="str">
        <f>IF(COUNTA(A101:B101,D101:G101)=0,"",IF(OR(A101="",B101="",D101="",E101=""),"COMPLETE ENTRY",IF(COUNTIFS(Inventory!$A$12:$A$61,B101)&lt;&gt;1,"CHECK ITEM CODE",IF(OR(NOT(ISNUMBER(A101)),A101&lt;=0),"CHECK DATE",IF(AND(D101&lt;&gt;"IN",D101&lt;&gt;"OUT"),"USE IN OR OUT",IF(OR(NOT(ISNUMBER(E101)),E101&lt;=0),"POSITIVE QTY NEEDED","OK"))))))</f>
        <v/>
      </c>
      <c r="I101" s="1"/>
      <c r="J101" s="1"/>
      <c r="K101" s="1"/>
    </row>
    <row r="102" spans="1:11" ht="24" customHeight="1">
      <c r="A102" s="7"/>
      <c r="B102" s="4"/>
      <c r="C102" s="1" t="str">
        <f>IF(B102="","",IF(COUNTIFS(Inventory!$A$12:$A$61,B102)=1,VLOOKUP(B102,Inventory!$A$12:$B$61,2,FALSE),"CHECK ITEM CODE"))</f>
        <v/>
      </c>
      <c r="D102" s="4"/>
      <c r="E102" s="8"/>
      <c r="F102" s="4"/>
      <c r="G102" s="4"/>
      <c r="H102" s="1" t="str">
        <f>IF(COUNTA(A102:B102,D102:G102)=0,"",IF(OR(A102="",B102="",D102="",E102=""),"COMPLETE ENTRY",IF(COUNTIFS(Inventory!$A$12:$A$61,B102)&lt;&gt;1,"CHECK ITEM CODE",IF(OR(NOT(ISNUMBER(A102)),A102&lt;=0),"CHECK DATE",IF(AND(D102&lt;&gt;"IN",D102&lt;&gt;"OUT"),"USE IN OR OUT",IF(OR(NOT(ISNUMBER(E102)),E102&lt;=0),"POSITIVE QTY NEEDED","OK"))))))</f>
        <v/>
      </c>
      <c r="I102" s="1"/>
      <c r="J102" s="1"/>
      <c r="K102" s="1"/>
    </row>
    <row r="103" spans="1:11" ht="24" customHeight="1">
      <c r="A103" s="7"/>
      <c r="B103" s="4"/>
      <c r="C103" s="1" t="str">
        <f>IF(B103="","",IF(COUNTIFS(Inventory!$A$12:$A$61,B103)=1,VLOOKUP(B103,Inventory!$A$12:$B$61,2,FALSE),"CHECK ITEM CODE"))</f>
        <v/>
      </c>
      <c r="D103" s="4"/>
      <c r="E103" s="8"/>
      <c r="F103" s="4"/>
      <c r="G103" s="4"/>
      <c r="H103" s="1" t="str">
        <f>IF(COUNTA(A103:B103,D103:G103)=0,"",IF(OR(A103="",B103="",D103="",E103=""),"COMPLETE ENTRY",IF(COUNTIFS(Inventory!$A$12:$A$61,B103)&lt;&gt;1,"CHECK ITEM CODE",IF(OR(NOT(ISNUMBER(A103)),A103&lt;=0),"CHECK DATE",IF(AND(D103&lt;&gt;"IN",D103&lt;&gt;"OUT"),"USE IN OR OUT",IF(OR(NOT(ISNUMBER(E103)),E103&lt;=0),"POSITIVE QTY NEEDED","OK"))))))</f>
        <v/>
      </c>
      <c r="I103" s="1"/>
      <c r="J103" s="1"/>
      <c r="K103" s="1"/>
    </row>
    <row r="104" spans="1:11" ht="24" customHeight="1">
      <c r="A104" s="7"/>
      <c r="B104" s="4"/>
      <c r="C104" s="1" t="str">
        <f>IF(B104="","",IF(COUNTIFS(Inventory!$A$12:$A$61,B104)=1,VLOOKUP(B104,Inventory!$A$12:$B$61,2,FALSE),"CHECK ITEM CODE"))</f>
        <v/>
      </c>
      <c r="D104" s="4"/>
      <c r="E104" s="8"/>
      <c r="F104" s="4"/>
      <c r="G104" s="4"/>
      <c r="H104" s="1" t="str">
        <f>IF(COUNTA(A104:B104,D104:G104)=0,"",IF(OR(A104="",B104="",D104="",E104=""),"COMPLETE ENTRY",IF(COUNTIFS(Inventory!$A$12:$A$61,B104)&lt;&gt;1,"CHECK ITEM CODE",IF(OR(NOT(ISNUMBER(A104)),A104&lt;=0),"CHECK DATE",IF(AND(D104&lt;&gt;"IN",D104&lt;&gt;"OUT"),"USE IN OR OUT",IF(OR(NOT(ISNUMBER(E104)),E104&lt;=0),"POSITIVE QTY NEEDED","OK"))))))</f>
        <v/>
      </c>
      <c r="I104" s="1"/>
      <c r="J104" s="1"/>
      <c r="K104" s="1"/>
    </row>
    <row r="105" spans="1:11" ht="24" customHeight="1">
      <c r="A105" s="7"/>
      <c r="B105" s="4"/>
      <c r="C105" s="1" t="str">
        <f>IF(B105="","",IF(COUNTIFS(Inventory!$A$12:$A$61,B105)=1,VLOOKUP(B105,Inventory!$A$12:$B$61,2,FALSE),"CHECK ITEM CODE"))</f>
        <v/>
      </c>
      <c r="D105" s="4"/>
      <c r="E105" s="8"/>
      <c r="F105" s="4"/>
      <c r="G105" s="4"/>
      <c r="H105" s="1" t="str">
        <f>IF(COUNTA(A105:B105,D105:G105)=0,"",IF(OR(A105="",B105="",D105="",E105=""),"COMPLETE ENTRY",IF(COUNTIFS(Inventory!$A$12:$A$61,B105)&lt;&gt;1,"CHECK ITEM CODE",IF(OR(NOT(ISNUMBER(A105)),A105&lt;=0),"CHECK DATE",IF(AND(D105&lt;&gt;"IN",D105&lt;&gt;"OUT"),"USE IN OR OUT",IF(OR(NOT(ISNUMBER(E105)),E105&lt;=0),"POSITIVE QTY NEEDED","OK"))))))</f>
        <v/>
      </c>
      <c r="I105" s="1"/>
      <c r="J105" s="1"/>
      <c r="K105" s="1"/>
    </row>
    <row r="106" spans="1:11" ht="24" customHeight="1">
      <c r="A106" s="7"/>
      <c r="B106" s="4"/>
      <c r="C106" s="1" t="str">
        <f>IF(B106="","",IF(COUNTIFS(Inventory!$A$12:$A$61,B106)=1,VLOOKUP(B106,Inventory!$A$12:$B$61,2,FALSE),"CHECK ITEM CODE"))</f>
        <v/>
      </c>
      <c r="D106" s="4"/>
      <c r="E106" s="8"/>
      <c r="F106" s="4"/>
      <c r="G106" s="4"/>
      <c r="H106" s="1" t="str">
        <f>IF(COUNTA(A106:B106,D106:G106)=0,"",IF(OR(A106="",B106="",D106="",E106=""),"COMPLETE ENTRY",IF(COUNTIFS(Inventory!$A$12:$A$61,B106)&lt;&gt;1,"CHECK ITEM CODE",IF(OR(NOT(ISNUMBER(A106)),A106&lt;=0),"CHECK DATE",IF(AND(D106&lt;&gt;"IN",D106&lt;&gt;"OUT"),"USE IN OR OUT",IF(OR(NOT(ISNUMBER(E106)),E106&lt;=0),"POSITIVE QTY NEEDED","OK"))))))</f>
        <v/>
      </c>
      <c r="I106" s="1"/>
      <c r="J106" s="1"/>
      <c r="K106" s="1"/>
    </row>
    <row r="107" spans="1:11" ht="24" customHeight="1">
      <c r="A107" s="7"/>
      <c r="B107" s="4"/>
      <c r="C107" s="1" t="str">
        <f>IF(B107="","",IF(COUNTIFS(Inventory!$A$12:$A$61,B107)=1,VLOOKUP(B107,Inventory!$A$12:$B$61,2,FALSE),"CHECK ITEM CODE"))</f>
        <v/>
      </c>
      <c r="D107" s="4"/>
      <c r="E107" s="8"/>
      <c r="F107" s="4"/>
      <c r="G107" s="4"/>
      <c r="H107" s="1" t="str">
        <f>IF(COUNTA(A107:B107,D107:G107)=0,"",IF(OR(A107="",B107="",D107="",E107=""),"COMPLETE ENTRY",IF(COUNTIFS(Inventory!$A$12:$A$61,B107)&lt;&gt;1,"CHECK ITEM CODE",IF(OR(NOT(ISNUMBER(A107)),A107&lt;=0),"CHECK DATE",IF(AND(D107&lt;&gt;"IN",D107&lt;&gt;"OUT"),"USE IN OR OUT",IF(OR(NOT(ISNUMBER(E107)),E107&lt;=0),"POSITIVE QTY NEEDED","OK"))))))</f>
        <v/>
      </c>
      <c r="I107" s="1"/>
      <c r="J107" s="1"/>
      <c r="K107" s="1"/>
    </row>
    <row r="108" spans="1:11" ht="24" customHeight="1">
      <c r="A108" s="7"/>
      <c r="B108" s="4"/>
      <c r="C108" s="1" t="str">
        <f>IF(B108="","",IF(COUNTIFS(Inventory!$A$12:$A$61,B108)=1,VLOOKUP(B108,Inventory!$A$12:$B$61,2,FALSE),"CHECK ITEM CODE"))</f>
        <v/>
      </c>
      <c r="D108" s="4"/>
      <c r="E108" s="8"/>
      <c r="F108" s="4"/>
      <c r="G108" s="4"/>
      <c r="H108" s="1" t="str">
        <f>IF(COUNTA(A108:B108,D108:G108)=0,"",IF(OR(A108="",B108="",D108="",E108=""),"COMPLETE ENTRY",IF(COUNTIFS(Inventory!$A$12:$A$61,B108)&lt;&gt;1,"CHECK ITEM CODE",IF(OR(NOT(ISNUMBER(A108)),A108&lt;=0),"CHECK DATE",IF(AND(D108&lt;&gt;"IN",D108&lt;&gt;"OUT"),"USE IN OR OUT",IF(OR(NOT(ISNUMBER(E108)),E108&lt;=0),"POSITIVE QTY NEEDED","OK"))))))</f>
        <v/>
      </c>
      <c r="I108" s="1"/>
      <c r="J108" s="1"/>
      <c r="K108" s="1"/>
    </row>
    <row r="109" spans="1:11" ht="24" customHeight="1">
      <c r="A109" s="7"/>
      <c r="B109" s="4"/>
      <c r="C109" s="1" t="str">
        <f>IF(B109="","",IF(COUNTIFS(Inventory!$A$12:$A$61,B109)=1,VLOOKUP(B109,Inventory!$A$12:$B$61,2,FALSE),"CHECK ITEM CODE"))</f>
        <v/>
      </c>
      <c r="D109" s="4"/>
      <c r="E109" s="8"/>
      <c r="F109" s="4"/>
      <c r="G109" s="4"/>
      <c r="H109" s="1" t="str">
        <f>IF(COUNTA(A109:B109,D109:G109)=0,"",IF(OR(A109="",B109="",D109="",E109=""),"COMPLETE ENTRY",IF(COUNTIFS(Inventory!$A$12:$A$61,B109)&lt;&gt;1,"CHECK ITEM CODE",IF(OR(NOT(ISNUMBER(A109)),A109&lt;=0),"CHECK DATE",IF(AND(D109&lt;&gt;"IN",D109&lt;&gt;"OUT"),"USE IN OR OUT",IF(OR(NOT(ISNUMBER(E109)),E109&lt;=0),"POSITIVE QTY NEEDED","OK"))))))</f>
        <v/>
      </c>
      <c r="I109" s="1"/>
      <c r="J109" s="1"/>
      <c r="K109" s="1"/>
    </row>
    <row r="110" spans="1:11" ht="24" customHeight="1">
      <c r="A110" s="7"/>
      <c r="B110" s="4"/>
      <c r="C110" s="1" t="str">
        <f>IF(B110="","",IF(COUNTIFS(Inventory!$A$12:$A$61,B110)=1,VLOOKUP(B110,Inventory!$A$12:$B$61,2,FALSE),"CHECK ITEM CODE"))</f>
        <v/>
      </c>
      <c r="D110" s="4"/>
      <c r="E110" s="8"/>
      <c r="F110" s="4"/>
      <c r="G110" s="4"/>
      <c r="H110" s="1" t="str">
        <f>IF(COUNTA(A110:B110,D110:G110)=0,"",IF(OR(A110="",B110="",D110="",E110=""),"COMPLETE ENTRY",IF(COUNTIFS(Inventory!$A$12:$A$61,B110)&lt;&gt;1,"CHECK ITEM CODE",IF(OR(NOT(ISNUMBER(A110)),A110&lt;=0),"CHECK DATE",IF(AND(D110&lt;&gt;"IN",D110&lt;&gt;"OUT"),"USE IN OR OUT",IF(OR(NOT(ISNUMBER(E110)),E110&lt;=0),"POSITIVE QTY NEEDED","OK"))))))</f>
        <v/>
      </c>
      <c r="I110" s="1"/>
      <c r="J110" s="1"/>
      <c r="K110" s="1"/>
    </row>
    <row r="111" spans="1:11" ht="24" customHeight="1">
      <c r="A111" s="7"/>
      <c r="B111" s="4"/>
      <c r="C111" s="1" t="str">
        <f>IF(B111="","",IF(COUNTIFS(Inventory!$A$12:$A$61,B111)=1,VLOOKUP(B111,Inventory!$A$12:$B$61,2,FALSE),"CHECK ITEM CODE"))</f>
        <v/>
      </c>
      <c r="D111" s="4"/>
      <c r="E111" s="8"/>
      <c r="F111" s="4"/>
      <c r="G111" s="4"/>
      <c r="H111" s="1" t="str">
        <f>IF(COUNTA(A111:B111,D111:G111)=0,"",IF(OR(A111="",B111="",D111="",E111=""),"COMPLETE ENTRY",IF(COUNTIFS(Inventory!$A$12:$A$61,B111)&lt;&gt;1,"CHECK ITEM CODE",IF(OR(NOT(ISNUMBER(A111)),A111&lt;=0),"CHECK DATE",IF(AND(D111&lt;&gt;"IN",D111&lt;&gt;"OUT"),"USE IN OR OUT",IF(OR(NOT(ISNUMBER(E111)),E111&lt;=0),"POSITIVE QTY NEEDED","OK"))))))</f>
        <v/>
      </c>
      <c r="I111" s="1"/>
      <c r="J111" s="1"/>
      <c r="K111" s="1"/>
    </row>
    <row r="112" spans="1:11" ht="24" customHeight="1">
      <c r="A112" s="7"/>
      <c r="B112" s="4"/>
      <c r="C112" s="1" t="str">
        <f>IF(B112="","",IF(COUNTIFS(Inventory!$A$12:$A$61,B112)=1,VLOOKUP(B112,Inventory!$A$12:$B$61,2,FALSE),"CHECK ITEM CODE"))</f>
        <v/>
      </c>
      <c r="D112" s="4"/>
      <c r="E112" s="8"/>
      <c r="F112" s="4"/>
      <c r="G112" s="4"/>
      <c r="H112" s="1" t="str">
        <f>IF(COUNTA(A112:B112,D112:G112)=0,"",IF(OR(A112="",B112="",D112="",E112=""),"COMPLETE ENTRY",IF(COUNTIFS(Inventory!$A$12:$A$61,B112)&lt;&gt;1,"CHECK ITEM CODE",IF(OR(NOT(ISNUMBER(A112)),A112&lt;=0),"CHECK DATE",IF(AND(D112&lt;&gt;"IN",D112&lt;&gt;"OUT"),"USE IN OR OUT",IF(OR(NOT(ISNUMBER(E112)),E112&lt;=0),"POSITIVE QTY NEEDED","OK"))))))</f>
        <v/>
      </c>
      <c r="I112" s="1"/>
      <c r="J112" s="1"/>
      <c r="K112" s="1"/>
    </row>
    <row r="113" spans="1:11" ht="24" customHeight="1">
      <c r="A113" s="7"/>
      <c r="B113" s="4"/>
      <c r="C113" s="1" t="str">
        <f>IF(B113="","",IF(COUNTIFS(Inventory!$A$12:$A$61,B113)=1,VLOOKUP(B113,Inventory!$A$12:$B$61,2,FALSE),"CHECK ITEM CODE"))</f>
        <v/>
      </c>
      <c r="D113" s="4"/>
      <c r="E113" s="8"/>
      <c r="F113" s="4"/>
      <c r="G113" s="4"/>
      <c r="H113" s="1" t="str">
        <f>IF(COUNTA(A113:B113,D113:G113)=0,"",IF(OR(A113="",B113="",D113="",E113=""),"COMPLETE ENTRY",IF(COUNTIFS(Inventory!$A$12:$A$61,B113)&lt;&gt;1,"CHECK ITEM CODE",IF(OR(NOT(ISNUMBER(A113)),A113&lt;=0),"CHECK DATE",IF(AND(D113&lt;&gt;"IN",D113&lt;&gt;"OUT"),"USE IN OR OUT",IF(OR(NOT(ISNUMBER(E113)),E113&lt;=0),"POSITIVE QTY NEEDED","OK"))))))</f>
        <v/>
      </c>
      <c r="I113" s="1"/>
      <c r="J113" s="1"/>
      <c r="K113" s="1"/>
    </row>
    <row r="114" spans="1:11" ht="24" customHeight="1">
      <c r="A114" s="7"/>
      <c r="B114" s="4"/>
      <c r="C114" s="1" t="str">
        <f>IF(B114="","",IF(COUNTIFS(Inventory!$A$12:$A$61,B114)=1,VLOOKUP(B114,Inventory!$A$12:$B$61,2,FALSE),"CHECK ITEM CODE"))</f>
        <v/>
      </c>
      <c r="D114" s="4"/>
      <c r="E114" s="8"/>
      <c r="F114" s="4"/>
      <c r="G114" s="4"/>
      <c r="H114" s="1" t="str">
        <f>IF(COUNTA(A114:B114,D114:G114)=0,"",IF(OR(A114="",B114="",D114="",E114=""),"COMPLETE ENTRY",IF(COUNTIFS(Inventory!$A$12:$A$61,B114)&lt;&gt;1,"CHECK ITEM CODE",IF(OR(NOT(ISNUMBER(A114)),A114&lt;=0),"CHECK DATE",IF(AND(D114&lt;&gt;"IN",D114&lt;&gt;"OUT"),"USE IN OR OUT",IF(OR(NOT(ISNUMBER(E114)),E114&lt;=0),"POSITIVE QTY NEEDED","OK"))))))</f>
        <v/>
      </c>
      <c r="I114" s="1"/>
      <c r="J114" s="1"/>
      <c r="K114" s="1"/>
    </row>
    <row r="115" spans="1:11" ht="24" customHeight="1">
      <c r="A115" s="7"/>
      <c r="B115" s="4"/>
      <c r="C115" s="1" t="str">
        <f>IF(B115="","",IF(COUNTIFS(Inventory!$A$12:$A$61,B115)=1,VLOOKUP(B115,Inventory!$A$12:$B$61,2,FALSE),"CHECK ITEM CODE"))</f>
        <v/>
      </c>
      <c r="D115" s="4"/>
      <c r="E115" s="8"/>
      <c r="F115" s="4"/>
      <c r="G115" s="4"/>
      <c r="H115" s="1" t="str">
        <f>IF(COUNTA(A115:B115,D115:G115)=0,"",IF(OR(A115="",B115="",D115="",E115=""),"COMPLETE ENTRY",IF(COUNTIFS(Inventory!$A$12:$A$61,B115)&lt;&gt;1,"CHECK ITEM CODE",IF(OR(NOT(ISNUMBER(A115)),A115&lt;=0),"CHECK DATE",IF(AND(D115&lt;&gt;"IN",D115&lt;&gt;"OUT"),"USE IN OR OUT",IF(OR(NOT(ISNUMBER(E115)),E115&lt;=0),"POSITIVE QTY NEEDED","OK"))))))</f>
        <v/>
      </c>
      <c r="I115" s="1"/>
      <c r="J115" s="1"/>
      <c r="K115" s="1"/>
    </row>
    <row r="116" spans="1:11" ht="24" customHeight="1">
      <c r="A116" s="7"/>
      <c r="B116" s="4"/>
      <c r="C116" s="1" t="str">
        <f>IF(B116="","",IF(COUNTIFS(Inventory!$A$12:$A$61,B116)=1,VLOOKUP(B116,Inventory!$A$12:$B$61,2,FALSE),"CHECK ITEM CODE"))</f>
        <v/>
      </c>
      <c r="D116" s="4"/>
      <c r="E116" s="8"/>
      <c r="F116" s="4"/>
      <c r="G116" s="4"/>
      <c r="H116" s="1" t="str">
        <f>IF(COUNTA(A116:B116,D116:G116)=0,"",IF(OR(A116="",B116="",D116="",E116=""),"COMPLETE ENTRY",IF(COUNTIFS(Inventory!$A$12:$A$61,B116)&lt;&gt;1,"CHECK ITEM CODE",IF(OR(NOT(ISNUMBER(A116)),A116&lt;=0),"CHECK DATE",IF(AND(D116&lt;&gt;"IN",D116&lt;&gt;"OUT"),"USE IN OR OUT",IF(OR(NOT(ISNUMBER(E116)),E116&lt;=0),"POSITIVE QTY NEEDED","OK"))))))</f>
        <v/>
      </c>
      <c r="I116" s="1"/>
      <c r="J116" s="1"/>
      <c r="K116" s="1"/>
    </row>
    <row r="117" spans="1:11" ht="24" customHeight="1">
      <c r="A117" s="7"/>
      <c r="B117" s="4"/>
      <c r="C117" s="1" t="str">
        <f>IF(B117="","",IF(COUNTIFS(Inventory!$A$12:$A$61,B117)=1,VLOOKUP(B117,Inventory!$A$12:$B$61,2,FALSE),"CHECK ITEM CODE"))</f>
        <v/>
      </c>
      <c r="D117" s="4"/>
      <c r="E117" s="8"/>
      <c r="F117" s="4"/>
      <c r="G117" s="4"/>
      <c r="H117" s="1" t="str">
        <f>IF(COUNTA(A117:B117,D117:G117)=0,"",IF(OR(A117="",B117="",D117="",E117=""),"COMPLETE ENTRY",IF(COUNTIFS(Inventory!$A$12:$A$61,B117)&lt;&gt;1,"CHECK ITEM CODE",IF(OR(NOT(ISNUMBER(A117)),A117&lt;=0),"CHECK DATE",IF(AND(D117&lt;&gt;"IN",D117&lt;&gt;"OUT"),"USE IN OR OUT",IF(OR(NOT(ISNUMBER(E117)),E117&lt;=0),"POSITIVE QTY NEEDED","OK"))))))</f>
        <v/>
      </c>
      <c r="I117" s="1"/>
      <c r="J117" s="1"/>
      <c r="K117" s="1"/>
    </row>
    <row r="118" spans="1:11" ht="24" customHeight="1">
      <c r="A118" s="7"/>
      <c r="B118" s="4"/>
      <c r="C118" s="1" t="str">
        <f>IF(B118="","",IF(COUNTIFS(Inventory!$A$12:$A$61,B118)=1,VLOOKUP(B118,Inventory!$A$12:$B$61,2,FALSE),"CHECK ITEM CODE"))</f>
        <v/>
      </c>
      <c r="D118" s="4"/>
      <c r="E118" s="8"/>
      <c r="F118" s="4"/>
      <c r="G118" s="4"/>
      <c r="H118" s="1" t="str">
        <f>IF(COUNTA(A118:B118,D118:G118)=0,"",IF(OR(A118="",B118="",D118="",E118=""),"COMPLETE ENTRY",IF(COUNTIFS(Inventory!$A$12:$A$61,B118)&lt;&gt;1,"CHECK ITEM CODE",IF(OR(NOT(ISNUMBER(A118)),A118&lt;=0),"CHECK DATE",IF(AND(D118&lt;&gt;"IN",D118&lt;&gt;"OUT"),"USE IN OR OUT",IF(OR(NOT(ISNUMBER(E118)),E118&lt;=0),"POSITIVE QTY NEEDED","OK"))))))</f>
        <v/>
      </c>
      <c r="I118" s="1"/>
      <c r="J118" s="1"/>
      <c r="K118" s="1"/>
    </row>
    <row r="119" spans="1:11" ht="24" customHeight="1">
      <c r="A119" s="7"/>
      <c r="B119" s="4"/>
      <c r="C119" s="1" t="str">
        <f>IF(B119="","",IF(COUNTIFS(Inventory!$A$12:$A$61,B119)=1,VLOOKUP(B119,Inventory!$A$12:$B$61,2,FALSE),"CHECK ITEM CODE"))</f>
        <v/>
      </c>
      <c r="D119" s="4"/>
      <c r="E119" s="8"/>
      <c r="F119" s="4"/>
      <c r="G119" s="4"/>
      <c r="H119" s="1" t="str">
        <f>IF(COUNTA(A119:B119,D119:G119)=0,"",IF(OR(A119="",B119="",D119="",E119=""),"COMPLETE ENTRY",IF(COUNTIFS(Inventory!$A$12:$A$61,B119)&lt;&gt;1,"CHECK ITEM CODE",IF(OR(NOT(ISNUMBER(A119)),A119&lt;=0),"CHECK DATE",IF(AND(D119&lt;&gt;"IN",D119&lt;&gt;"OUT"),"USE IN OR OUT",IF(OR(NOT(ISNUMBER(E119)),E119&lt;=0),"POSITIVE QTY NEEDED","OK"))))))</f>
        <v/>
      </c>
      <c r="I119" s="1"/>
      <c r="J119" s="1"/>
      <c r="K119" s="1"/>
    </row>
    <row r="120" spans="1:11" ht="24" customHeight="1">
      <c r="A120" s="7"/>
      <c r="B120" s="4"/>
      <c r="C120" s="1" t="str">
        <f>IF(B120="","",IF(COUNTIFS(Inventory!$A$12:$A$61,B120)=1,VLOOKUP(B120,Inventory!$A$12:$B$61,2,FALSE),"CHECK ITEM CODE"))</f>
        <v/>
      </c>
      <c r="D120" s="4"/>
      <c r="E120" s="8"/>
      <c r="F120" s="4"/>
      <c r="G120" s="4"/>
      <c r="H120" s="1" t="str">
        <f>IF(COUNTA(A120:B120,D120:G120)=0,"",IF(OR(A120="",B120="",D120="",E120=""),"COMPLETE ENTRY",IF(COUNTIFS(Inventory!$A$12:$A$61,B120)&lt;&gt;1,"CHECK ITEM CODE",IF(OR(NOT(ISNUMBER(A120)),A120&lt;=0),"CHECK DATE",IF(AND(D120&lt;&gt;"IN",D120&lt;&gt;"OUT"),"USE IN OR OUT",IF(OR(NOT(ISNUMBER(E120)),E120&lt;=0),"POSITIVE QTY NEEDED","OK"))))))</f>
        <v/>
      </c>
      <c r="I120" s="1"/>
      <c r="J120" s="1"/>
      <c r="K120" s="1"/>
    </row>
    <row r="121" spans="1:11" ht="24" customHeight="1">
      <c r="A121" s="7"/>
      <c r="B121" s="4"/>
      <c r="C121" s="1" t="str">
        <f>IF(B121="","",IF(COUNTIFS(Inventory!$A$12:$A$61,B121)=1,VLOOKUP(B121,Inventory!$A$12:$B$61,2,FALSE),"CHECK ITEM CODE"))</f>
        <v/>
      </c>
      <c r="D121" s="4"/>
      <c r="E121" s="8"/>
      <c r="F121" s="4"/>
      <c r="G121" s="4"/>
      <c r="H121" s="1" t="str">
        <f>IF(COUNTA(A121:B121,D121:G121)=0,"",IF(OR(A121="",B121="",D121="",E121=""),"COMPLETE ENTRY",IF(COUNTIFS(Inventory!$A$12:$A$61,B121)&lt;&gt;1,"CHECK ITEM CODE",IF(OR(NOT(ISNUMBER(A121)),A121&lt;=0),"CHECK DATE",IF(AND(D121&lt;&gt;"IN",D121&lt;&gt;"OUT"),"USE IN OR OUT",IF(OR(NOT(ISNUMBER(E121)),E121&lt;=0),"POSITIVE QTY NEEDED","OK"))))))</f>
        <v/>
      </c>
      <c r="I121" s="1"/>
      <c r="J121" s="1"/>
      <c r="K121" s="1"/>
    </row>
    <row r="122" spans="1:11" ht="24" customHeight="1">
      <c r="A122" s="7"/>
      <c r="B122" s="4"/>
      <c r="C122" s="1" t="str">
        <f>IF(B122="","",IF(COUNTIFS(Inventory!$A$12:$A$61,B122)=1,VLOOKUP(B122,Inventory!$A$12:$B$61,2,FALSE),"CHECK ITEM CODE"))</f>
        <v/>
      </c>
      <c r="D122" s="4"/>
      <c r="E122" s="8"/>
      <c r="F122" s="4"/>
      <c r="G122" s="4"/>
      <c r="H122" s="1" t="str">
        <f>IF(COUNTA(A122:B122,D122:G122)=0,"",IF(OR(A122="",B122="",D122="",E122=""),"COMPLETE ENTRY",IF(COUNTIFS(Inventory!$A$12:$A$61,B122)&lt;&gt;1,"CHECK ITEM CODE",IF(OR(NOT(ISNUMBER(A122)),A122&lt;=0),"CHECK DATE",IF(AND(D122&lt;&gt;"IN",D122&lt;&gt;"OUT"),"USE IN OR OUT",IF(OR(NOT(ISNUMBER(E122)),E122&lt;=0),"POSITIVE QTY NEEDED","OK"))))))</f>
        <v/>
      </c>
      <c r="I122" s="1"/>
      <c r="J122" s="1"/>
      <c r="K122" s="1"/>
    </row>
    <row r="123" spans="1:11" ht="24" customHeight="1">
      <c r="A123" s="7"/>
      <c r="B123" s="4"/>
      <c r="C123" s="1" t="str">
        <f>IF(B123="","",IF(COUNTIFS(Inventory!$A$12:$A$61,B123)=1,VLOOKUP(B123,Inventory!$A$12:$B$61,2,FALSE),"CHECK ITEM CODE"))</f>
        <v/>
      </c>
      <c r="D123" s="4"/>
      <c r="E123" s="8"/>
      <c r="F123" s="4"/>
      <c r="G123" s="4"/>
      <c r="H123" s="1" t="str">
        <f>IF(COUNTA(A123:B123,D123:G123)=0,"",IF(OR(A123="",B123="",D123="",E123=""),"COMPLETE ENTRY",IF(COUNTIFS(Inventory!$A$12:$A$61,B123)&lt;&gt;1,"CHECK ITEM CODE",IF(OR(NOT(ISNUMBER(A123)),A123&lt;=0),"CHECK DATE",IF(AND(D123&lt;&gt;"IN",D123&lt;&gt;"OUT"),"USE IN OR OUT",IF(OR(NOT(ISNUMBER(E123)),E123&lt;=0),"POSITIVE QTY NEEDED","OK"))))))</f>
        <v/>
      </c>
      <c r="I123" s="1"/>
      <c r="J123" s="1"/>
      <c r="K123" s="1"/>
    </row>
    <row r="124" spans="1:11" ht="24" customHeight="1">
      <c r="A124" s="7"/>
      <c r="B124" s="4"/>
      <c r="C124" s="1" t="str">
        <f>IF(B124="","",IF(COUNTIFS(Inventory!$A$12:$A$61,B124)=1,VLOOKUP(B124,Inventory!$A$12:$B$61,2,FALSE),"CHECK ITEM CODE"))</f>
        <v/>
      </c>
      <c r="D124" s="4"/>
      <c r="E124" s="8"/>
      <c r="F124" s="4"/>
      <c r="G124" s="4"/>
      <c r="H124" s="1" t="str">
        <f>IF(COUNTA(A124:B124,D124:G124)=0,"",IF(OR(A124="",B124="",D124="",E124=""),"COMPLETE ENTRY",IF(COUNTIFS(Inventory!$A$12:$A$61,B124)&lt;&gt;1,"CHECK ITEM CODE",IF(OR(NOT(ISNUMBER(A124)),A124&lt;=0),"CHECK DATE",IF(AND(D124&lt;&gt;"IN",D124&lt;&gt;"OUT"),"USE IN OR OUT",IF(OR(NOT(ISNUMBER(E124)),E124&lt;=0),"POSITIVE QTY NEEDED","OK"))))))</f>
        <v/>
      </c>
      <c r="I124" s="1"/>
      <c r="J124" s="1"/>
      <c r="K124" s="1"/>
    </row>
    <row r="125" spans="1:11" ht="24" customHeight="1">
      <c r="A125" s="7"/>
      <c r="B125" s="4"/>
      <c r="C125" s="1" t="str">
        <f>IF(B125="","",IF(COUNTIFS(Inventory!$A$12:$A$61,B125)=1,VLOOKUP(B125,Inventory!$A$12:$B$61,2,FALSE),"CHECK ITEM CODE"))</f>
        <v/>
      </c>
      <c r="D125" s="4"/>
      <c r="E125" s="8"/>
      <c r="F125" s="4"/>
      <c r="G125" s="4"/>
      <c r="H125" s="1" t="str">
        <f>IF(COUNTA(A125:B125,D125:G125)=0,"",IF(OR(A125="",B125="",D125="",E125=""),"COMPLETE ENTRY",IF(COUNTIFS(Inventory!$A$12:$A$61,B125)&lt;&gt;1,"CHECK ITEM CODE",IF(OR(NOT(ISNUMBER(A125)),A125&lt;=0),"CHECK DATE",IF(AND(D125&lt;&gt;"IN",D125&lt;&gt;"OUT"),"USE IN OR OUT",IF(OR(NOT(ISNUMBER(E125)),E125&lt;=0),"POSITIVE QTY NEEDED","OK"))))))</f>
        <v/>
      </c>
      <c r="I125" s="1"/>
      <c r="J125" s="1"/>
      <c r="K125" s="1"/>
    </row>
    <row r="126" spans="1:11" ht="24" customHeight="1">
      <c r="A126" s="7"/>
      <c r="B126" s="4"/>
      <c r="C126" s="1" t="str">
        <f>IF(B126="","",IF(COUNTIFS(Inventory!$A$12:$A$61,B126)=1,VLOOKUP(B126,Inventory!$A$12:$B$61,2,FALSE),"CHECK ITEM CODE"))</f>
        <v/>
      </c>
      <c r="D126" s="4"/>
      <c r="E126" s="8"/>
      <c r="F126" s="4"/>
      <c r="G126" s="4"/>
      <c r="H126" s="1" t="str">
        <f>IF(COUNTA(A126:B126,D126:G126)=0,"",IF(OR(A126="",B126="",D126="",E126=""),"COMPLETE ENTRY",IF(COUNTIFS(Inventory!$A$12:$A$61,B126)&lt;&gt;1,"CHECK ITEM CODE",IF(OR(NOT(ISNUMBER(A126)),A126&lt;=0),"CHECK DATE",IF(AND(D126&lt;&gt;"IN",D126&lt;&gt;"OUT"),"USE IN OR OUT",IF(OR(NOT(ISNUMBER(E126)),E126&lt;=0),"POSITIVE QTY NEEDED","OK"))))))</f>
        <v/>
      </c>
      <c r="I126" s="1"/>
      <c r="J126" s="1"/>
      <c r="K126" s="1"/>
    </row>
    <row r="127" spans="1:11" ht="24" customHeight="1">
      <c r="A127" s="7"/>
      <c r="B127" s="4"/>
      <c r="C127" s="1" t="str">
        <f>IF(B127="","",IF(COUNTIFS(Inventory!$A$12:$A$61,B127)=1,VLOOKUP(B127,Inventory!$A$12:$B$61,2,FALSE),"CHECK ITEM CODE"))</f>
        <v/>
      </c>
      <c r="D127" s="4"/>
      <c r="E127" s="8"/>
      <c r="F127" s="4"/>
      <c r="G127" s="4"/>
      <c r="H127" s="1" t="str">
        <f>IF(COUNTA(A127:B127,D127:G127)=0,"",IF(OR(A127="",B127="",D127="",E127=""),"COMPLETE ENTRY",IF(COUNTIFS(Inventory!$A$12:$A$61,B127)&lt;&gt;1,"CHECK ITEM CODE",IF(OR(NOT(ISNUMBER(A127)),A127&lt;=0),"CHECK DATE",IF(AND(D127&lt;&gt;"IN",D127&lt;&gt;"OUT"),"USE IN OR OUT",IF(OR(NOT(ISNUMBER(E127)),E127&lt;=0),"POSITIVE QTY NEEDED","OK"))))))</f>
        <v/>
      </c>
      <c r="I127" s="1"/>
      <c r="J127" s="1"/>
      <c r="K127" s="1"/>
    </row>
    <row r="128" spans="1:11" ht="24" customHeight="1">
      <c r="A128" s="7"/>
      <c r="B128" s="4"/>
      <c r="C128" s="1" t="str">
        <f>IF(B128="","",IF(COUNTIFS(Inventory!$A$12:$A$61,B128)=1,VLOOKUP(B128,Inventory!$A$12:$B$61,2,FALSE),"CHECK ITEM CODE"))</f>
        <v/>
      </c>
      <c r="D128" s="4"/>
      <c r="E128" s="8"/>
      <c r="F128" s="4"/>
      <c r="G128" s="4"/>
      <c r="H128" s="1" t="str">
        <f>IF(COUNTA(A128:B128,D128:G128)=0,"",IF(OR(A128="",B128="",D128="",E128=""),"COMPLETE ENTRY",IF(COUNTIFS(Inventory!$A$12:$A$61,B128)&lt;&gt;1,"CHECK ITEM CODE",IF(OR(NOT(ISNUMBER(A128)),A128&lt;=0),"CHECK DATE",IF(AND(D128&lt;&gt;"IN",D128&lt;&gt;"OUT"),"USE IN OR OUT",IF(OR(NOT(ISNUMBER(E128)),E128&lt;=0),"POSITIVE QTY NEEDED","OK"))))))</f>
        <v/>
      </c>
      <c r="I128" s="1"/>
      <c r="J128" s="1"/>
      <c r="K128" s="1"/>
    </row>
    <row r="129" spans="1:11" ht="24" customHeight="1">
      <c r="A129" s="7"/>
      <c r="B129" s="4"/>
      <c r="C129" s="1" t="str">
        <f>IF(B129="","",IF(COUNTIFS(Inventory!$A$12:$A$61,B129)=1,VLOOKUP(B129,Inventory!$A$12:$B$61,2,FALSE),"CHECK ITEM CODE"))</f>
        <v/>
      </c>
      <c r="D129" s="4"/>
      <c r="E129" s="8"/>
      <c r="F129" s="4"/>
      <c r="G129" s="4"/>
      <c r="H129" s="1" t="str">
        <f>IF(COUNTA(A129:B129,D129:G129)=0,"",IF(OR(A129="",B129="",D129="",E129=""),"COMPLETE ENTRY",IF(COUNTIFS(Inventory!$A$12:$A$61,B129)&lt;&gt;1,"CHECK ITEM CODE",IF(OR(NOT(ISNUMBER(A129)),A129&lt;=0),"CHECK DATE",IF(AND(D129&lt;&gt;"IN",D129&lt;&gt;"OUT"),"USE IN OR OUT",IF(OR(NOT(ISNUMBER(E129)),E129&lt;=0),"POSITIVE QTY NEEDED","OK"))))))</f>
        <v/>
      </c>
      <c r="I129" s="1"/>
      <c r="J129" s="1"/>
      <c r="K129" s="1"/>
    </row>
    <row r="130" spans="1:11" ht="24" customHeight="1">
      <c r="A130" s="7"/>
      <c r="B130" s="4"/>
      <c r="C130" s="1" t="str">
        <f>IF(B130="","",IF(COUNTIFS(Inventory!$A$12:$A$61,B130)=1,VLOOKUP(B130,Inventory!$A$12:$B$61,2,FALSE),"CHECK ITEM CODE"))</f>
        <v/>
      </c>
      <c r="D130" s="4"/>
      <c r="E130" s="8"/>
      <c r="F130" s="4"/>
      <c r="G130" s="4"/>
      <c r="H130" s="1" t="str">
        <f>IF(COUNTA(A130:B130,D130:G130)=0,"",IF(OR(A130="",B130="",D130="",E130=""),"COMPLETE ENTRY",IF(COUNTIFS(Inventory!$A$12:$A$61,B130)&lt;&gt;1,"CHECK ITEM CODE",IF(OR(NOT(ISNUMBER(A130)),A130&lt;=0),"CHECK DATE",IF(AND(D130&lt;&gt;"IN",D130&lt;&gt;"OUT"),"USE IN OR OUT",IF(OR(NOT(ISNUMBER(E130)),E130&lt;=0),"POSITIVE QTY NEEDED","OK"))))))</f>
        <v/>
      </c>
      <c r="I130" s="1"/>
      <c r="J130" s="1"/>
      <c r="K130" s="1"/>
    </row>
    <row r="131" spans="1:11" ht="24" customHeight="1">
      <c r="A131" s="7"/>
      <c r="B131" s="4"/>
      <c r="C131" s="1" t="str">
        <f>IF(B131="","",IF(COUNTIFS(Inventory!$A$12:$A$61,B131)=1,VLOOKUP(B131,Inventory!$A$12:$B$61,2,FALSE),"CHECK ITEM CODE"))</f>
        <v/>
      </c>
      <c r="D131" s="4"/>
      <c r="E131" s="8"/>
      <c r="F131" s="4"/>
      <c r="G131" s="4"/>
      <c r="H131" s="1" t="str">
        <f>IF(COUNTA(A131:B131,D131:G131)=0,"",IF(OR(A131="",B131="",D131="",E131=""),"COMPLETE ENTRY",IF(COUNTIFS(Inventory!$A$12:$A$61,B131)&lt;&gt;1,"CHECK ITEM CODE",IF(OR(NOT(ISNUMBER(A131)),A131&lt;=0),"CHECK DATE",IF(AND(D131&lt;&gt;"IN",D131&lt;&gt;"OUT"),"USE IN OR OUT",IF(OR(NOT(ISNUMBER(E131)),E131&lt;=0),"POSITIVE QTY NEEDED","OK"))))))</f>
        <v/>
      </c>
      <c r="I131" s="1"/>
      <c r="J131" s="1"/>
      <c r="K131" s="1"/>
    </row>
    <row r="132" spans="1:11" ht="24" customHeight="1">
      <c r="A132" s="7"/>
      <c r="B132" s="4"/>
      <c r="C132" s="1" t="str">
        <f>IF(B132="","",IF(COUNTIFS(Inventory!$A$12:$A$61,B132)=1,VLOOKUP(B132,Inventory!$A$12:$B$61,2,FALSE),"CHECK ITEM CODE"))</f>
        <v/>
      </c>
      <c r="D132" s="4"/>
      <c r="E132" s="8"/>
      <c r="F132" s="4"/>
      <c r="G132" s="4"/>
      <c r="H132" s="1" t="str">
        <f>IF(COUNTA(A132:B132,D132:G132)=0,"",IF(OR(A132="",B132="",D132="",E132=""),"COMPLETE ENTRY",IF(COUNTIFS(Inventory!$A$12:$A$61,B132)&lt;&gt;1,"CHECK ITEM CODE",IF(OR(NOT(ISNUMBER(A132)),A132&lt;=0),"CHECK DATE",IF(AND(D132&lt;&gt;"IN",D132&lt;&gt;"OUT"),"USE IN OR OUT",IF(OR(NOT(ISNUMBER(E132)),E132&lt;=0),"POSITIVE QTY NEEDED","OK"))))))</f>
        <v/>
      </c>
      <c r="I132" s="1"/>
      <c r="J132" s="1"/>
      <c r="K132" s="1"/>
    </row>
    <row r="133" spans="1:11" ht="24" customHeight="1">
      <c r="A133" s="7"/>
      <c r="B133" s="4"/>
      <c r="C133" s="1" t="str">
        <f>IF(B133="","",IF(COUNTIFS(Inventory!$A$12:$A$61,B133)=1,VLOOKUP(B133,Inventory!$A$12:$B$61,2,FALSE),"CHECK ITEM CODE"))</f>
        <v/>
      </c>
      <c r="D133" s="4"/>
      <c r="E133" s="8"/>
      <c r="F133" s="4"/>
      <c r="G133" s="4"/>
      <c r="H133" s="1" t="str">
        <f>IF(COUNTA(A133:B133,D133:G133)=0,"",IF(OR(A133="",B133="",D133="",E133=""),"COMPLETE ENTRY",IF(COUNTIFS(Inventory!$A$12:$A$61,B133)&lt;&gt;1,"CHECK ITEM CODE",IF(OR(NOT(ISNUMBER(A133)),A133&lt;=0),"CHECK DATE",IF(AND(D133&lt;&gt;"IN",D133&lt;&gt;"OUT"),"USE IN OR OUT",IF(OR(NOT(ISNUMBER(E133)),E133&lt;=0),"POSITIVE QTY NEEDED","OK"))))))</f>
        <v/>
      </c>
      <c r="I133" s="1"/>
      <c r="J133" s="1"/>
      <c r="K133" s="1"/>
    </row>
    <row r="134" spans="1:11" ht="24" customHeight="1">
      <c r="A134" s="7"/>
      <c r="B134" s="4"/>
      <c r="C134" s="1" t="str">
        <f>IF(B134="","",IF(COUNTIFS(Inventory!$A$12:$A$61,B134)=1,VLOOKUP(B134,Inventory!$A$12:$B$61,2,FALSE),"CHECK ITEM CODE"))</f>
        <v/>
      </c>
      <c r="D134" s="4"/>
      <c r="E134" s="8"/>
      <c r="F134" s="4"/>
      <c r="G134" s="4"/>
      <c r="H134" s="1" t="str">
        <f>IF(COUNTA(A134:B134,D134:G134)=0,"",IF(OR(A134="",B134="",D134="",E134=""),"COMPLETE ENTRY",IF(COUNTIFS(Inventory!$A$12:$A$61,B134)&lt;&gt;1,"CHECK ITEM CODE",IF(OR(NOT(ISNUMBER(A134)),A134&lt;=0),"CHECK DATE",IF(AND(D134&lt;&gt;"IN",D134&lt;&gt;"OUT"),"USE IN OR OUT",IF(OR(NOT(ISNUMBER(E134)),E134&lt;=0),"POSITIVE QTY NEEDED","OK"))))))</f>
        <v/>
      </c>
      <c r="I134" s="1"/>
      <c r="J134" s="1"/>
      <c r="K134" s="1"/>
    </row>
    <row r="135" spans="1:11" ht="24" customHeight="1">
      <c r="A135" s="7"/>
      <c r="B135" s="4"/>
      <c r="C135" s="1" t="str">
        <f>IF(B135="","",IF(COUNTIFS(Inventory!$A$12:$A$61,B135)=1,VLOOKUP(B135,Inventory!$A$12:$B$61,2,FALSE),"CHECK ITEM CODE"))</f>
        <v/>
      </c>
      <c r="D135" s="4"/>
      <c r="E135" s="8"/>
      <c r="F135" s="4"/>
      <c r="G135" s="4"/>
      <c r="H135" s="1" t="str">
        <f>IF(COUNTA(A135:B135,D135:G135)=0,"",IF(OR(A135="",B135="",D135="",E135=""),"COMPLETE ENTRY",IF(COUNTIFS(Inventory!$A$12:$A$61,B135)&lt;&gt;1,"CHECK ITEM CODE",IF(OR(NOT(ISNUMBER(A135)),A135&lt;=0),"CHECK DATE",IF(AND(D135&lt;&gt;"IN",D135&lt;&gt;"OUT"),"USE IN OR OUT",IF(OR(NOT(ISNUMBER(E135)),E135&lt;=0),"POSITIVE QTY NEEDED","OK"))))))</f>
        <v/>
      </c>
      <c r="I135" s="1"/>
      <c r="J135" s="1"/>
      <c r="K135" s="1"/>
    </row>
    <row r="136" spans="1:11" ht="24" customHeight="1">
      <c r="A136" s="7"/>
      <c r="B136" s="4"/>
      <c r="C136" s="1" t="str">
        <f>IF(B136="","",IF(COUNTIFS(Inventory!$A$12:$A$61,B136)=1,VLOOKUP(B136,Inventory!$A$12:$B$61,2,FALSE),"CHECK ITEM CODE"))</f>
        <v/>
      </c>
      <c r="D136" s="4"/>
      <c r="E136" s="8"/>
      <c r="F136" s="4"/>
      <c r="G136" s="4"/>
      <c r="H136" s="1" t="str">
        <f>IF(COUNTA(A136:B136,D136:G136)=0,"",IF(OR(A136="",B136="",D136="",E136=""),"COMPLETE ENTRY",IF(COUNTIFS(Inventory!$A$12:$A$61,B136)&lt;&gt;1,"CHECK ITEM CODE",IF(OR(NOT(ISNUMBER(A136)),A136&lt;=0),"CHECK DATE",IF(AND(D136&lt;&gt;"IN",D136&lt;&gt;"OUT"),"USE IN OR OUT",IF(OR(NOT(ISNUMBER(E136)),E136&lt;=0),"POSITIVE QTY NEEDED","OK"))))))</f>
        <v/>
      </c>
      <c r="I136" s="1"/>
      <c r="J136" s="1"/>
      <c r="K136" s="1"/>
    </row>
    <row r="137" spans="1:11" ht="24" customHeight="1">
      <c r="A137" s="7"/>
      <c r="B137" s="4"/>
      <c r="C137" s="1" t="str">
        <f>IF(B137="","",IF(COUNTIFS(Inventory!$A$12:$A$61,B137)=1,VLOOKUP(B137,Inventory!$A$12:$B$61,2,FALSE),"CHECK ITEM CODE"))</f>
        <v/>
      </c>
      <c r="D137" s="4"/>
      <c r="E137" s="8"/>
      <c r="F137" s="4"/>
      <c r="G137" s="4"/>
      <c r="H137" s="1" t="str">
        <f>IF(COUNTA(A137:B137,D137:G137)=0,"",IF(OR(A137="",B137="",D137="",E137=""),"COMPLETE ENTRY",IF(COUNTIFS(Inventory!$A$12:$A$61,B137)&lt;&gt;1,"CHECK ITEM CODE",IF(OR(NOT(ISNUMBER(A137)),A137&lt;=0),"CHECK DATE",IF(AND(D137&lt;&gt;"IN",D137&lt;&gt;"OUT"),"USE IN OR OUT",IF(OR(NOT(ISNUMBER(E137)),E137&lt;=0),"POSITIVE QTY NEEDED","OK"))))))</f>
        <v/>
      </c>
      <c r="I137" s="1"/>
      <c r="J137" s="1"/>
      <c r="K137" s="1"/>
    </row>
    <row r="138" spans="1:11" ht="24" customHeight="1">
      <c r="A138" s="7"/>
      <c r="B138" s="4"/>
      <c r="C138" s="1" t="str">
        <f>IF(B138="","",IF(COUNTIFS(Inventory!$A$12:$A$61,B138)=1,VLOOKUP(B138,Inventory!$A$12:$B$61,2,FALSE),"CHECK ITEM CODE"))</f>
        <v/>
      </c>
      <c r="D138" s="4"/>
      <c r="E138" s="8"/>
      <c r="F138" s="4"/>
      <c r="G138" s="4"/>
      <c r="H138" s="1" t="str">
        <f>IF(COUNTA(A138:B138,D138:G138)=0,"",IF(OR(A138="",B138="",D138="",E138=""),"COMPLETE ENTRY",IF(COUNTIFS(Inventory!$A$12:$A$61,B138)&lt;&gt;1,"CHECK ITEM CODE",IF(OR(NOT(ISNUMBER(A138)),A138&lt;=0),"CHECK DATE",IF(AND(D138&lt;&gt;"IN",D138&lt;&gt;"OUT"),"USE IN OR OUT",IF(OR(NOT(ISNUMBER(E138)),E138&lt;=0),"POSITIVE QTY NEEDED","OK"))))))</f>
        <v/>
      </c>
      <c r="I138" s="1"/>
      <c r="J138" s="1"/>
      <c r="K138" s="1"/>
    </row>
    <row r="139" spans="1:11" ht="24" customHeight="1">
      <c r="A139" s="7"/>
      <c r="B139" s="4"/>
      <c r="C139" s="1" t="str">
        <f>IF(B139="","",IF(COUNTIFS(Inventory!$A$12:$A$61,B139)=1,VLOOKUP(B139,Inventory!$A$12:$B$61,2,FALSE),"CHECK ITEM CODE"))</f>
        <v/>
      </c>
      <c r="D139" s="4"/>
      <c r="E139" s="8"/>
      <c r="F139" s="4"/>
      <c r="G139" s="4"/>
      <c r="H139" s="1" t="str">
        <f>IF(COUNTA(A139:B139,D139:G139)=0,"",IF(OR(A139="",B139="",D139="",E139=""),"COMPLETE ENTRY",IF(COUNTIFS(Inventory!$A$12:$A$61,B139)&lt;&gt;1,"CHECK ITEM CODE",IF(OR(NOT(ISNUMBER(A139)),A139&lt;=0),"CHECK DATE",IF(AND(D139&lt;&gt;"IN",D139&lt;&gt;"OUT"),"USE IN OR OUT",IF(OR(NOT(ISNUMBER(E139)),E139&lt;=0),"POSITIVE QTY NEEDED","OK"))))))</f>
        <v/>
      </c>
      <c r="I139" s="1"/>
      <c r="J139" s="1"/>
      <c r="K139" s="1"/>
    </row>
    <row r="140" spans="1:11" ht="24" customHeight="1">
      <c r="A140" s="7"/>
      <c r="B140" s="4"/>
      <c r="C140" s="1" t="str">
        <f>IF(B140="","",IF(COUNTIFS(Inventory!$A$12:$A$61,B140)=1,VLOOKUP(B140,Inventory!$A$12:$B$61,2,FALSE),"CHECK ITEM CODE"))</f>
        <v/>
      </c>
      <c r="D140" s="4"/>
      <c r="E140" s="8"/>
      <c r="F140" s="4"/>
      <c r="G140" s="4"/>
      <c r="H140" s="1" t="str">
        <f>IF(COUNTA(A140:B140,D140:G140)=0,"",IF(OR(A140="",B140="",D140="",E140=""),"COMPLETE ENTRY",IF(COUNTIFS(Inventory!$A$12:$A$61,B140)&lt;&gt;1,"CHECK ITEM CODE",IF(OR(NOT(ISNUMBER(A140)),A140&lt;=0),"CHECK DATE",IF(AND(D140&lt;&gt;"IN",D140&lt;&gt;"OUT"),"USE IN OR OUT",IF(OR(NOT(ISNUMBER(E140)),E140&lt;=0),"POSITIVE QTY NEEDED","OK"))))))</f>
        <v/>
      </c>
      <c r="I140" s="1"/>
      <c r="J140" s="1"/>
      <c r="K140" s="1"/>
    </row>
    <row r="141" spans="1:11" ht="24" customHeight="1">
      <c r="A141" s="7"/>
      <c r="B141" s="4"/>
      <c r="C141" s="1" t="str">
        <f>IF(B141="","",IF(COUNTIFS(Inventory!$A$12:$A$61,B141)=1,VLOOKUP(B141,Inventory!$A$12:$B$61,2,FALSE),"CHECK ITEM CODE"))</f>
        <v/>
      </c>
      <c r="D141" s="4"/>
      <c r="E141" s="8"/>
      <c r="F141" s="4"/>
      <c r="G141" s="4"/>
      <c r="H141" s="1" t="str">
        <f>IF(COUNTA(A141:B141,D141:G141)=0,"",IF(OR(A141="",B141="",D141="",E141=""),"COMPLETE ENTRY",IF(COUNTIFS(Inventory!$A$12:$A$61,B141)&lt;&gt;1,"CHECK ITEM CODE",IF(OR(NOT(ISNUMBER(A141)),A141&lt;=0),"CHECK DATE",IF(AND(D141&lt;&gt;"IN",D141&lt;&gt;"OUT"),"USE IN OR OUT",IF(OR(NOT(ISNUMBER(E141)),E141&lt;=0),"POSITIVE QTY NEEDED","OK"))))))</f>
        <v/>
      </c>
      <c r="I141" s="1"/>
      <c r="J141" s="1"/>
      <c r="K141" s="1"/>
    </row>
    <row r="142" spans="1:11" ht="24" customHeight="1">
      <c r="A142" s="7"/>
      <c r="B142" s="4"/>
      <c r="C142" s="1" t="str">
        <f>IF(B142="","",IF(COUNTIFS(Inventory!$A$12:$A$61,B142)=1,VLOOKUP(B142,Inventory!$A$12:$B$61,2,FALSE),"CHECK ITEM CODE"))</f>
        <v/>
      </c>
      <c r="D142" s="4"/>
      <c r="E142" s="8"/>
      <c r="F142" s="4"/>
      <c r="G142" s="4"/>
      <c r="H142" s="1" t="str">
        <f>IF(COUNTA(A142:B142,D142:G142)=0,"",IF(OR(A142="",B142="",D142="",E142=""),"COMPLETE ENTRY",IF(COUNTIFS(Inventory!$A$12:$A$61,B142)&lt;&gt;1,"CHECK ITEM CODE",IF(OR(NOT(ISNUMBER(A142)),A142&lt;=0),"CHECK DATE",IF(AND(D142&lt;&gt;"IN",D142&lt;&gt;"OUT"),"USE IN OR OUT",IF(OR(NOT(ISNUMBER(E142)),E142&lt;=0),"POSITIVE QTY NEEDED","OK"))))))</f>
        <v/>
      </c>
      <c r="I142" s="1"/>
      <c r="J142" s="1"/>
      <c r="K142" s="1"/>
    </row>
    <row r="143" spans="1:11" ht="24" customHeight="1">
      <c r="A143" s="7"/>
      <c r="B143" s="4"/>
      <c r="C143" s="1" t="str">
        <f>IF(B143="","",IF(COUNTIFS(Inventory!$A$12:$A$61,B143)=1,VLOOKUP(B143,Inventory!$A$12:$B$61,2,FALSE),"CHECK ITEM CODE"))</f>
        <v/>
      </c>
      <c r="D143" s="4"/>
      <c r="E143" s="8"/>
      <c r="F143" s="4"/>
      <c r="G143" s="4"/>
      <c r="H143" s="1" t="str">
        <f>IF(COUNTA(A143:B143,D143:G143)=0,"",IF(OR(A143="",B143="",D143="",E143=""),"COMPLETE ENTRY",IF(COUNTIFS(Inventory!$A$12:$A$61,B143)&lt;&gt;1,"CHECK ITEM CODE",IF(OR(NOT(ISNUMBER(A143)),A143&lt;=0),"CHECK DATE",IF(AND(D143&lt;&gt;"IN",D143&lt;&gt;"OUT"),"USE IN OR OUT",IF(OR(NOT(ISNUMBER(E143)),E143&lt;=0),"POSITIVE QTY NEEDED","OK"))))))</f>
        <v/>
      </c>
      <c r="I143" s="1"/>
      <c r="J143" s="1"/>
      <c r="K143" s="1"/>
    </row>
    <row r="144" spans="1:11" ht="24" customHeight="1">
      <c r="A144" s="7"/>
      <c r="B144" s="4"/>
      <c r="C144" s="1" t="str">
        <f>IF(B144="","",IF(COUNTIFS(Inventory!$A$12:$A$61,B144)=1,VLOOKUP(B144,Inventory!$A$12:$B$61,2,FALSE),"CHECK ITEM CODE"))</f>
        <v/>
      </c>
      <c r="D144" s="4"/>
      <c r="E144" s="8"/>
      <c r="F144" s="4"/>
      <c r="G144" s="4"/>
      <c r="H144" s="1" t="str">
        <f>IF(COUNTA(A144:B144,D144:G144)=0,"",IF(OR(A144="",B144="",D144="",E144=""),"COMPLETE ENTRY",IF(COUNTIFS(Inventory!$A$12:$A$61,B144)&lt;&gt;1,"CHECK ITEM CODE",IF(OR(NOT(ISNUMBER(A144)),A144&lt;=0),"CHECK DATE",IF(AND(D144&lt;&gt;"IN",D144&lt;&gt;"OUT"),"USE IN OR OUT",IF(OR(NOT(ISNUMBER(E144)),E144&lt;=0),"POSITIVE QTY NEEDED","OK"))))))</f>
        <v/>
      </c>
      <c r="I144" s="1"/>
      <c r="J144" s="1"/>
      <c r="K144" s="1"/>
    </row>
    <row r="145" spans="1:11" ht="24" customHeight="1">
      <c r="A145" s="7"/>
      <c r="B145" s="4"/>
      <c r="C145" s="1" t="str">
        <f>IF(B145="","",IF(COUNTIFS(Inventory!$A$12:$A$61,B145)=1,VLOOKUP(B145,Inventory!$A$12:$B$61,2,FALSE),"CHECK ITEM CODE"))</f>
        <v/>
      </c>
      <c r="D145" s="4"/>
      <c r="E145" s="8"/>
      <c r="F145" s="4"/>
      <c r="G145" s="4"/>
      <c r="H145" s="1" t="str">
        <f>IF(COUNTA(A145:B145,D145:G145)=0,"",IF(OR(A145="",B145="",D145="",E145=""),"COMPLETE ENTRY",IF(COUNTIFS(Inventory!$A$12:$A$61,B145)&lt;&gt;1,"CHECK ITEM CODE",IF(OR(NOT(ISNUMBER(A145)),A145&lt;=0),"CHECK DATE",IF(AND(D145&lt;&gt;"IN",D145&lt;&gt;"OUT"),"USE IN OR OUT",IF(OR(NOT(ISNUMBER(E145)),E145&lt;=0),"POSITIVE QTY NEEDED","OK"))))))</f>
        <v/>
      </c>
      <c r="I145" s="1"/>
      <c r="J145" s="1"/>
      <c r="K145" s="1"/>
    </row>
    <row r="146" spans="1:11" ht="24" customHeight="1">
      <c r="A146" s="7"/>
      <c r="B146" s="4"/>
      <c r="C146" s="1" t="str">
        <f>IF(B146="","",IF(COUNTIFS(Inventory!$A$12:$A$61,B146)=1,VLOOKUP(B146,Inventory!$A$12:$B$61,2,FALSE),"CHECK ITEM CODE"))</f>
        <v/>
      </c>
      <c r="D146" s="4"/>
      <c r="E146" s="8"/>
      <c r="F146" s="4"/>
      <c r="G146" s="4"/>
      <c r="H146" s="1" t="str">
        <f>IF(COUNTA(A146:B146,D146:G146)=0,"",IF(OR(A146="",B146="",D146="",E146=""),"COMPLETE ENTRY",IF(COUNTIFS(Inventory!$A$12:$A$61,B146)&lt;&gt;1,"CHECK ITEM CODE",IF(OR(NOT(ISNUMBER(A146)),A146&lt;=0),"CHECK DATE",IF(AND(D146&lt;&gt;"IN",D146&lt;&gt;"OUT"),"USE IN OR OUT",IF(OR(NOT(ISNUMBER(E146)),E146&lt;=0),"POSITIVE QTY NEEDED","OK"))))))</f>
        <v/>
      </c>
      <c r="I146" s="1"/>
      <c r="J146" s="1"/>
      <c r="K146" s="1"/>
    </row>
    <row r="147" spans="1:11" ht="24" customHeight="1">
      <c r="A147" s="7"/>
      <c r="B147" s="4"/>
      <c r="C147" s="1" t="str">
        <f>IF(B147="","",IF(COUNTIFS(Inventory!$A$12:$A$61,B147)=1,VLOOKUP(B147,Inventory!$A$12:$B$61,2,FALSE),"CHECK ITEM CODE"))</f>
        <v/>
      </c>
      <c r="D147" s="4"/>
      <c r="E147" s="8"/>
      <c r="F147" s="4"/>
      <c r="G147" s="4"/>
      <c r="H147" s="1" t="str">
        <f>IF(COUNTA(A147:B147,D147:G147)=0,"",IF(OR(A147="",B147="",D147="",E147=""),"COMPLETE ENTRY",IF(COUNTIFS(Inventory!$A$12:$A$61,B147)&lt;&gt;1,"CHECK ITEM CODE",IF(OR(NOT(ISNUMBER(A147)),A147&lt;=0),"CHECK DATE",IF(AND(D147&lt;&gt;"IN",D147&lt;&gt;"OUT"),"USE IN OR OUT",IF(OR(NOT(ISNUMBER(E147)),E147&lt;=0),"POSITIVE QTY NEEDED","OK"))))))</f>
        <v/>
      </c>
      <c r="I147" s="1"/>
      <c r="J147" s="1"/>
      <c r="K147" s="1"/>
    </row>
    <row r="148" spans="1:11" ht="24" customHeight="1">
      <c r="A148" s="7"/>
      <c r="B148" s="4"/>
      <c r="C148" s="1" t="str">
        <f>IF(B148="","",IF(COUNTIFS(Inventory!$A$12:$A$61,B148)=1,VLOOKUP(B148,Inventory!$A$12:$B$61,2,FALSE),"CHECK ITEM CODE"))</f>
        <v/>
      </c>
      <c r="D148" s="4"/>
      <c r="E148" s="8"/>
      <c r="F148" s="4"/>
      <c r="G148" s="4"/>
      <c r="H148" s="1" t="str">
        <f>IF(COUNTA(A148:B148,D148:G148)=0,"",IF(OR(A148="",B148="",D148="",E148=""),"COMPLETE ENTRY",IF(COUNTIFS(Inventory!$A$12:$A$61,B148)&lt;&gt;1,"CHECK ITEM CODE",IF(OR(NOT(ISNUMBER(A148)),A148&lt;=0),"CHECK DATE",IF(AND(D148&lt;&gt;"IN",D148&lt;&gt;"OUT"),"USE IN OR OUT",IF(OR(NOT(ISNUMBER(E148)),E148&lt;=0),"POSITIVE QTY NEEDED","OK"))))))</f>
        <v/>
      </c>
      <c r="I148" s="1"/>
      <c r="J148" s="1"/>
      <c r="K148" s="1"/>
    </row>
    <row r="149" spans="1:11" ht="24" customHeight="1">
      <c r="A149" s="7"/>
      <c r="B149" s="4"/>
      <c r="C149" s="1" t="str">
        <f>IF(B149="","",IF(COUNTIFS(Inventory!$A$12:$A$61,B149)=1,VLOOKUP(B149,Inventory!$A$12:$B$61,2,FALSE),"CHECK ITEM CODE"))</f>
        <v/>
      </c>
      <c r="D149" s="4"/>
      <c r="E149" s="8"/>
      <c r="F149" s="4"/>
      <c r="G149" s="4"/>
      <c r="H149" s="1" t="str">
        <f>IF(COUNTA(A149:B149,D149:G149)=0,"",IF(OR(A149="",B149="",D149="",E149=""),"COMPLETE ENTRY",IF(COUNTIFS(Inventory!$A$12:$A$61,B149)&lt;&gt;1,"CHECK ITEM CODE",IF(OR(NOT(ISNUMBER(A149)),A149&lt;=0),"CHECK DATE",IF(AND(D149&lt;&gt;"IN",D149&lt;&gt;"OUT"),"USE IN OR OUT",IF(OR(NOT(ISNUMBER(E149)),E149&lt;=0),"POSITIVE QTY NEEDED","OK"))))))</f>
        <v/>
      </c>
      <c r="I149" s="1"/>
      <c r="J149" s="1"/>
      <c r="K149" s="1"/>
    </row>
    <row r="150" spans="1:11" ht="24" customHeight="1">
      <c r="A150" s="7"/>
      <c r="B150" s="4"/>
      <c r="C150" s="1" t="str">
        <f>IF(B150="","",IF(COUNTIFS(Inventory!$A$12:$A$61,B150)=1,VLOOKUP(B150,Inventory!$A$12:$B$61,2,FALSE),"CHECK ITEM CODE"))</f>
        <v/>
      </c>
      <c r="D150" s="4"/>
      <c r="E150" s="8"/>
      <c r="F150" s="4"/>
      <c r="G150" s="4"/>
      <c r="H150" s="1" t="str">
        <f>IF(COUNTA(A150:B150,D150:G150)=0,"",IF(OR(A150="",B150="",D150="",E150=""),"COMPLETE ENTRY",IF(COUNTIFS(Inventory!$A$12:$A$61,B150)&lt;&gt;1,"CHECK ITEM CODE",IF(OR(NOT(ISNUMBER(A150)),A150&lt;=0),"CHECK DATE",IF(AND(D150&lt;&gt;"IN",D150&lt;&gt;"OUT"),"USE IN OR OUT",IF(OR(NOT(ISNUMBER(E150)),E150&lt;=0),"POSITIVE QTY NEEDED","OK"))))))</f>
        <v/>
      </c>
      <c r="I150" s="1"/>
      <c r="J150" s="1"/>
      <c r="K150" s="1"/>
    </row>
    <row r="151" spans="1:11" ht="24" customHeight="1">
      <c r="A151" s="7"/>
      <c r="B151" s="4"/>
      <c r="C151" s="1" t="str">
        <f>IF(B151="","",IF(COUNTIFS(Inventory!$A$12:$A$61,B151)=1,VLOOKUP(B151,Inventory!$A$12:$B$61,2,FALSE),"CHECK ITEM CODE"))</f>
        <v/>
      </c>
      <c r="D151" s="4"/>
      <c r="E151" s="8"/>
      <c r="F151" s="4"/>
      <c r="G151" s="4"/>
      <c r="H151" s="1" t="str">
        <f>IF(COUNTA(A151:B151,D151:G151)=0,"",IF(OR(A151="",B151="",D151="",E151=""),"COMPLETE ENTRY",IF(COUNTIFS(Inventory!$A$12:$A$61,B151)&lt;&gt;1,"CHECK ITEM CODE",IF(OR(NOT(ISNUMBER(A151)),A151&lt;=0),"CHECK DATE",IF(AND(D151&lt;&gt;"IN",D151&lt;&gt;"OUT"),"USE IN OR OUT",IF(OR(NOT(ISNUMBER(E151)),E151&lt;=0),"POSITIVE QTY NEEDED","OK"))))))</f>
        <v/>
      </c>
      <c r="I151" s="1"/>
      <c r="J151" s="1"/>
      <c r="K151" s="1"/>
    </row>
    <row r="152" spans="1:11" ht="24" customHeight="1">
      <c r="A152" s="7"/>
      <c r="B152" s="4"/>
      <c r="C152" s="1" t="str">
        <f>IF(B152="","",IF(COUNTIFS(Inventory!$A$12:$A$61,B152)=1,VLOOKUP(B152,Inventory!$A$12:$B$61,2,FALSE),"CHECK ITEM CODE"))</f>
        <v/>
      </c>
      <c r="D152" s="4"/>
      <c r="E152" s="8"/>
      <c r="F152" s="4"/>
      <c r="G152" s="4"/>
      <c r="H152" s="1" t="str">
        <f>IF(COUNTA(A152:B152,D152:G152)=0,"",IF(OR(A152="",B152="",D152="",E152=""),"COMPLETE ENTRY",IF(COUNTIFS(Inventory!$A$12:$A$61,B152)&lt;&gt;1,"CHECK ITEM CODE",IF(OR(NOT(ISNUMBER(A152)),A152&lt;=0),"CHECK DATE",IF(AND(D152&lt;&gt;"IN",D152&lt;&gt;"OUT"),"USE IN OR OUT",IF(OR(NOT(ISNUMBER(E152)),E152&lt;=0),"POSITIVE QTY NEEDED","OK"))))))</f>
        <v/>
      </c>
      <c r="I152" s="1"/>
      <c r="J152" s="1"/>
      <c r="K152" s="1"/>
    </row>
    <row r="153" spans="1:11" ht="24" customHeight="1">
      <c r="A153" s="7"/>
      <c r="B153" s="4"/>
      <c r="C153" s="1" t="str">
        <f>IF(B153="","",IF(COUNTIFS(Inventory!$A$12:$A$61,B153)=1,VLOOKUP(B153,Inventory!$A$12:$B$61,2,FALSE),"CHECK ITEM CODE"))</f>
        <v/>
      </c>
      <c r="D153" s="4"/>
      <c r="E153" s="8"/>
      <c r="F153" s="4"/>
      <c r="G153" s="4"/>
      <c r="H153" s="1" t="str">
        <f>IF(COUNTA(A153:B153,D153:G153)=0,"",IF(OR(A153="",B153="",D153="",E153=""),"COMPLETE ENTRY",IF(COUNTIFS(Inventory!$A$12:$A$61,B153)&lt;&gt;1,"CHECK ITEM CODE",IF(OR(NOT(ISNUMBER(A153)),A153&lt;=0),"CHECK DATE",IF(AND(D153&lt;&gt;"IN",D153&lt;&gt;"OUT"),"USE IN OR OUT",IF(OR(NOT(ISNUMBER(E153)),E153&lt;=0),"POSITIVE QTY NEEDED","OK"))))))</f>
        <v/>
      </c>
      <c r="I153" s="1"/>
      <c r="J153" s="1"/>
      <c r="K153" s="1"/>
    </row>
    <row r="154" spans="1:11" ht="24" customHeight="1">
      <c r="A154" s="7"/>
      <c r="B154" s="4"/>
      <c r="C154" s="1" t="str">
        <f>IF(B154="","",IF(COUNTIFS(Inventory!$A$12:$A$61,B154)=1,VLOOKUP(B154,Inventory!$A$12:$B$61,2,FALSE),"CHECK ITEM CODE"))</f>
        <v/>
      </c>
      <c r="D154" s="4"/>
      <c r="E154" s="8"/>
      <c r="F154" s="4"/>
      <c r="G154" s="4"/>
      <c r="H154" s="1" t="str">
        <f>IF(COUNTA(A154:B154,D154:G154)=0,"",IF(OR(A154="",B154="",D154="",E154=""),"COMPLETE ENTRY",IF(COUNTIFS(Inventory!$A$12:$A$61,B154)&lt;&gt;1,"CHECK ITEM CODE",IF(OR(NOT(ISNUMBER(A154)),A154&lt;=0),"CHECK DATE",IF(AND(D154&lt;&gt;"IN",D154&lt;&gt;"OUT"),"USE IN OR OUT",IF(OR(NOT(ISNUMBER(E154)),E154&lt;=0),"POSITIVE QTY NEEDED","OK"))))))</f>
        <v/>
      </c>
      <c r="I154" s="1"/>
      <c r="J154" s="1"/>
      <c r="K154" s="1"/>
    </row>
    <row r="155" spans="1:11" ht="24" customHeight="1">
      <c r="A155" s="7"/>
      <c r="B155" s="4"/>
      <c r="C155" s="1" t="str">
        <f>IF(B155="","",IF(COUNTIFS(Inventory!$A$12:$A$61,B155)=1,VLOOKUP(B155,Inventory!$A$12:$B$61,2,FALSE),"CHECK ITEM CODE"))</f>
        <v/>
      </c>
      <c r="D155" s="4"/>
      <c r="E155" s="8"/>
      <c r="F155" s="4"/>
      <c r="G155" s="4"/>
      <c r="H155" s="1" t="str">
        <f>IF(COUNTA(A155:B155,D155:G155)=0,"",IF(OR(A155="",B155="",D155="",E155=""),"COMPLETE ENTRY",IF(COUNTIFS(Inventory!$A$12:$A$61,B155)&lt;&gt;1,"CHECK ITEM CODE",IF(OR(NOT(ISNUMBER(A155)),A155&lt;=0),"CHECK DATE",IF(AND(D155&lt;&gt;"IN",D155&lt;&gt;"OUT"),"USE IN OR OUT",IF(OR(NOT(ISNUMBER(E155)),E155&lt;=0),"POSITIVE QTY NEEDED","OK"))))))</f>
        <v/>
      </c>
      <c r="I155" s="1"/>
      <c r="J155" s="1"/>
      <c r="K155" s="1"/>
    </row>
    <row r="156" spans="1:11" ht="24" customHeight="1">
      <c r="A156" s="7"/>
      <c r="B156" s="4"/>
      <c r="C156" s="1" t="str">
        <f>IF(B156="","",IF(COUNTIFS(Inventory!$A$12:$A$61,B156)=1,VLOOKUP(B156,Inventory!$A$12:$B$61,2,FALSE),"CHECK ITEM CODE"))</f>
        <v/>
      </c>
      <c r="D156" s="4"/>
      <c r="E156" s="8"/>
      <c r="F156" s="4"/>
      <c r="G156" s="4"/>
      <c r="H156" s="1" t="str">
        <f>IF(COUNTA(A156:B156,D156:G156)=0,"",IF(OR(A156="",B156="",D156="",E156=""),"COMPLETE ENTRY",IF(COUNTIFS(Inventory!$A$12:$A$61,B156)&lt;&gt;1,"CHECK ITEM CODE",IF(OR(NOT(ISNUMBER(A156)),A156&lt;=0),"CHECK DATE",IF(AND(D156&lt;&gt;"IN",D156&lt;&gt;"OUT"),"USE IN OR OUT",IF(OR(NOT(ISNUMBER(E156)),E156&lt;=0),"POSITIVE QTY NEEDED","OK"))))))</f>
        <v/>
      </c>
      <c r="I156" s="1"/>
      <c r="J156" s="1"/>
      <c r="K156" s="1"/>
    </row>
    <row r="157" spans="1:11" ht="24" customHeight="1">
      <c r="A157" s="7"/>
      <c r="B157" s="4"/>
      <c r="C157" s="1" t="str">
        <f>IF(B157="","",IF(COUNTIFS(Inventory!$A$12:$A$61,B157)=1,VLOOKUP(B157,Inventory!$A$12:$B$61,2,FALSE),"CHECK ITEM CODE"))</f>
        <v/>
      </c>
      <c r="D157" s="4"/>
      <c r="E157" s="8"/>
      <c r="F157" s="4"/>
      <c r="G157" s="4"/>
      <c r="H157" s="1" t="str">
        <f>IF(COUNTA(A157:B157,D157:G157)=0,"",IF(OR(A157="",B157="",D157="",E157=""),"COMPLETE ENTRY",IF(COUNTIFS(Inventory!$A$12:$A$61,B157)&lt;&gt;1,"CHECK ITEM CODE",IF(OR(NOT(ISNUMBER(A157)),A157&lt;=0),"CHECK DATE",IF(AND(D157&lt;&gt;"IN",D157&lt;&gt;"OUT"),"USE IN OR OUT",IF(OR(NOT(ISNUMBER(E157)),E157&lt;=0),"POSITIVE QTY NEEDED","OK"))))))</f>
        <v/>
      </c>
      <c r="I157" s="1"/>
      <c r="J157" s="1"/>
      <c r="K157" s="1"/>
    </row>
    <row r="158" spans="1:11" ht="24" customHeight="1">
      <c r="A158" s="7"/>
      <c r="B158" s="4"/>
      <c r="C158" s="1" t="str">
        <f>IF(B158="","",IF(COUNTIFS(Inventory!$A$12:$A$61,B158)=1,VLOOKUP(B158,Inventory!$A$12:$B$61,2,FALSE),"CHECK ITEM CODE"))</f>
        <v/>
      </c>
      <c r="D158" s="4"/>
      <c r="E158" s="8"/>
      <c r="F158" s="4"/>
      <c r="G158" s="4"/>
      <c r="H158" s="1" t="str">
        <f>IF(COUNTA(A158:B158,D158:G158)=0,"",IF(OR(A158="",B158="",D158="",E158=""),"COMPLETE ENTRY",IF(COUNTIFS(Inventory!$A$12:$A$61,B158)&lt;&gt;1,"CHECK ITEM CODE",IF(OR(NOT(ISNUMBER(A158)),A158&lt;=0),"CHECK DATE",IF(AND(D158&lt;&gt;"IN",D158&lt;&gt;"OUT"),"USE IN OR OUT",IF(OR(NOT(ISNUMBER(E158)),E158&lt;=0),"POSITIVE QTY NEEDED","OK"))))))</f>
        <v/>
      </c>
      <c r="I158" s="1"/>
      <c r="J158" s="1"/>
      <c r="K158" s="1"/>
    </row>
    <row r="159" spans="1:11" ht="24" customHeight="1">
      <c r="A159" s="7"/>
      <c r="B159" s="4"/>
      <c r="C159" s="1" t="str">
        <f>IF(B159="","",IF(COUNTIFS(Inventory!$A$12:$A$61,B159)=1,VLOOKUP(B159,Inventory!$A$12:$B$61,2,FALSE),"CHECK ITEM CODE"))</f>
        <v/>
      </c>
      <c r="D159" s="4"/>
      <c r="E159" s="8"/>
      <c r="F159" s="4"/>
      <c r="G159" s="4"/>
      <c r="H159" s="1" t="str">
        <f>IF(COUNTA(A159:B159,D159:G159)=0,"",IF(OR(A159="",B159="",D159="",E159=""),"COMPLETE ENTRY",IF(COUNTIFS(Inventory!$A$12:$A$61,B159)&lt;&gt;1,"CHECK ITEM CODE",IF(OR(NOT(ISNUMBER(A159)),A159&lt;=0),"CHECK DATE",IF(AND(D159&lt;&gt;"IN",D159&lt;&gt;"OUT"),"USE IN OR OUT",IF(OR(NOT(ISNUMBER(E159)),E159&lt;=0),"POSITIVE QTY NEEDED","OK"))))))</f>
        <v/>
      </c>
      <c r="I159" s="1"/>
      <c r="J159" s="1"/>
      <c r="K159" s="1"/>
    </row>
    <row r="160" spans="1:11" ht="24" customHeight="1">
      <c r="A160" s="7"/>
      <c r="B160" s="4"/>
      <c r="C160" s="1" t="str">
        <f>IF(B160="","",IF(COUNTIFS(Inventory!$A$12:$A$61,B160)=1,VLOOKUP(B160,Inventory!$A$12:$B$61,2,FALSE),"CHECK ITEM CODE"))</f>
        <v/>
      </c>
      <c r="D160" s="4"/>
      <c r="E160" s="8"/>
      <c r="F160" s="4"/>
      <c r="G160" s="4"/>
      <c r="H160" s="1" t="str">
        <f>IF(COUNTA(A160:B160,D160:G160)=0,"",IF(OR(A160="",B160="",D160="",E160=""),"COMPLETE ENTRY",IF(COUNTIFS(Inventory!$A$12:$A$61,B160)&lt;&gt;1,"CHECK ITEM CODE",IF(OR(NOT(ISNUMBER(A160)),A160&lt;=0),"CHECK DATE",IF(AND(D160&lt;&gt;"IN",D160&lt;&gt;"OUT"),"USE IN OR OUT",IF(OR(NOT(ISNUMBER(E160)),E160&lt;=0),"POSITIVE QTY NEEDED","OK"))))))</f>
        <v/>
      </c>
      <c r="I160" s="1"/>
      <c r="J160" s="1"/>
      <c r="K160" s="1"/>
    </row>
    <row r="161" spans="1:11" ht="24" customHeight="1">
      <c r="A161" s="7"/>
      <c r="B161" s="4"/>
      <c r="C161" s="1" t="str">
        <f>IF(B161="","",IF(COUNTIFS(Inventory!$A$12:$A$61,B161)=1,VLOOKUP(B161,Inventory!$A$12:$B$61,2,FALSE),"CHECK ITEM CODE"))</f>
        <v/>
      </c>
      <c r="D161" s="4"/>
      <c r="E161" s="8"/>
      <c r="F161" s="4"/>
      <c r="G161" s="4"/>
      <c r="H161" s="1" t="str">
        <f>IF(COUNTA(A161:B161,D161:G161)=0,"",IF(OR(A161="",B161="",D161="",E161=""),"COMPLETE ENTRY",IF(COUNTIFS(Inventory!$A$12:$A$61,B161)&lt;&gt;1,"CHECK ITEM CODE",IF(OR(NOT(ISNUMBER(A161)),A161&lt;=0),"CHECK DATE",IF(AND(D161&lt;&gt;"IN",D161&lt;&gt;"OUT"),"USE IN OR OUT",IF(OR(NOT(ISNUMBER(E161)),E161&lt;=0),"POSITIVE QTY NEEDED","OK"))))))</f>
        <v/>
      </c>
      <c r="I161" s="1"/>
      <c r="J161" s="1"/>
      <c r="K161" s="1"/>
    </row>
    <row r="162" spans="1:11" ht="24" customHeight="1">
      <c r="A162" s="7"/>
      <c r="B162" s="4"/>
      <c r="C162" s="1" t="str">
        <f>IF(B162="","",IF(COUNTIFS(Inventory!$A$12:$A$61,B162)=1,VLOOKUP(B162,Inventory!$A$12:$B$61,2,FALSE),"CHECK ITEM CODE"))</f>
        <v/>
      </c>
      <c r="D162" s="4"/>
      <c r="E162" s="8"/>
      <c r="F162" s="4"/>
      <c r="G162" s="4"/>
      <c r="H162" s="1" t="str">
        <f>IF(COUNTA(A162:B162,D162:G162)=0,"",IF(OR(A162="",B162="",D162="",E162=""),"COMPLETE ENTRY",IF(COUNTIFS(Inventory!$A$12:$A$61,B162)&lt;&gt;1,"CHECK ITEM CODE",IF(OR(NOT(ISNUMBER(A162)),A162&lt;=0),"CHECK DATE",IF(AND(D162&lt;&gt;"IN",D162&lt;&gt;"OUT"),"USE IN OR OUT",IF(OR(NOT(ISNUMBER(E162)),E162&lt;=0),"POSITIVE QTY NEEDED","OK"))))))</f>
        <v/>
      </c>
      <c r="I162" s="1"/>
      <c r="J162" s="1"/>
      <c r="K162" s="1"/>
    </row>
    <row r="163" spans="1:11" ht="24" customHeight="1">
      <c r="A163" s="7"/>
      <c r="B163" s="4"/>
      <c r="C163" s="1" t="str">
        <f>IF(B163="","",IF(COUNTIFS(Inventory!$A$12:$A$61,B163)=1,VLOOKUP(B163,Inventory!$A$12:$B$61,2,FALSE),"CHECK ITEM CODE"))</f>
        <v/>
      </c>
      <c r="D163" s="4"/>
      <c r="E163" s="8"/>
      <c r="F163" s="4"/>
      <c r="G163" s="4"/>
      <c r="H163" s="1" t="str">
        <f>IF(COUNTA(A163:B163,D163:G163)=0,"",IF(OR(A163="",B163="",D163="",E163=""),"COMPLETE ENTRY",IF(COUNTIFS(Inventory!$A$12:$A$61,B163)&lt;&gt;1,"CHECK ITEM CODE",IF(OR(NOT(ISNUMBER(A163)),A163&lt;=0),"CHECK DATE",IF(AND(D163&lt;&gt;"IN",D163&lt;&gt;"OUT"),"USE IN OR OUT",IF(OR(NOT(ISNUMBER(E163)),E163&lt;=0),"POSITIVE QTY NEEDED","OK"))))))</f>
        <v/>
      </c>
      <c r="I163" s="1"/>
      <c r="J163" s="1"/>
      <c r="K163" s="1"/>
    </row>
    <row r="164" spans="1:11" ht="24" customHeight="1">
      <c r="A164" s="7"/>
      <c r="B164" s="4"/>
      <c r="C164" s="1" t="str">
        <f>IF(B164="","",IF(COUNTIFS(Inventory!$A$12:$A$61,B164)=1,VLOOKUP(B164,Inventory!$A$12:$B$61,2,FALSE),"CHECK ITEM CODE"))</f>
        <v/>
      </c>
      <c r="D164" s="4"/>
      <c r="E164" s="8"/>
      <c r="F164" s="4"/>
      <c r="G164" s="4"/>
      <c r="H164" s="1" t="str">
        <f>IF(COUNTA(A164:B164,D164:G164)=0,"",IF(OR(A164="",B164="",D164="",E164=""),"COMPLETE ENTRY",IF(COUNTIFS(Inventory!$A$12:$A$61,B164)&lt;&gt;1,"CHECK ITEM CODE",IF(OR(NOT(ISNUMBER(A164)),A164&lt;=0),"CHECK DATE",IF(AND(D164&lt;&gt;"IN",D164&lt;&gt;"OUT"),"USE IN OR OUT",IF(OR(NOT(ISNUMBER(E164)),E164&lt;=0),"POSITIVE QTY NEEDED","OK"))))))</f>
        <v/>
      </c>
      <c r="I164" s="1"/>
      <c r="J164" s="1"/>
      <c r="K164" s="1"/>
    </row>
    <row r="165" spans="1:11" ht="24" customHeight="1">
      <c r="A165" s="7"/>
      <c r="B165" s="4"/>
      <c r="C165" s="1" t="str">
        <f>IF(B165="","",IF(COUNTIFS(Inventory!$A$12:$A$61,B165)=1,VLOOKUP(B165,Inventory!$A$12:$B$61,2,FALSE),"CHECK ITEM CODE"))</f>
        <v/>
      </c>
      <c r="D165" s="4"/>
      <c r="E165" s="8"/>
      <c r="F165" s="4"/>
      <c r="G165" s="4"/>
      <c r="H165" s="1" t="str">
        <f>IF(COUNTA(A165:B165,D165:G165)=0,"",IF(OR(A165="",B165="",D165="",E165=""),"COMPLETE ENTRY",IF(COUNTIFS(Inventory!$A$12:$A$61,B165)&lt;&gt;1,"CHECK ITEM CODE",IF(OR(NOT(ISNUMBER(A165)),A165&lt;=0),"CHECK DATE",IF(AND(D165&lt;&gt;"IN",D165&lt;&gt;"OUT"),"USE IN OR OUT",IF(OR(NOT(ISNUMBER(E165)),E165&lt;=0),"POSITIVE QTY NEEDED","OK"))))))</f>
        <v/>
      </c>
      <c r="I165" s="1"/>
      <c r="J165" s="1"/>
      <c r="K165" s="1"/>
    </row>
    <row r="166" spans="1:11" ht="24" customHeight="1">
      <c r="A166" s="7"/>
      <c r="B166" s="4"/>
      <c r="C166" s="1" t="str">
        <f>IF(B166="","",IF(COUNTIFS(Inventory!$A$12:$A$61,B166)=1,VLOOKUP(B166,Inventory!$A$12:$B$61,2,FALSE),"CHECK ITEM CODE"))</f>
        <v/>
      </c>
      <c r="D166" s="4"/>
      <c r="E166" s="8"/>
      <c r="F166" s="4"/>
      <c r="G166" s="4"/>
      <c r="H166" s="1" t="str">
        <f>IF(COUNTA(A166:B166,D166:G166)=0,"",IF(OR(A166="",B166="",D166="",E166=""),"COMPLETE ENTRY",IF(COUNTIFS(Inventory!$A$12:$A$61,B166)&lt;&gt;1,"CHECK ITEM CODE",IF(OR(NOT(ISNUMBER(A166)),A166&lt;=0),"CHECK DATE",IF(AND(D166&lt;&gt;"IN",D166&lt;&gt;"OUT"),"USE IN OR OUT",IF(OR(NOT(ISNUMBER(E166)),E166&lt;=0),"POSITIVE QTY NEEDED","OK"))))))</f>
        <v/>
      </c>
      <c r="I166" s="1"/>
      <c r="J166" s="1"/>
      <c r="K166" s="1"/>
    </row>
    <row r="167" spans="1:11" ht="24" customHeight="1">
      <c r="A167" s="7"/>
      <c r="B167" s="4"/>
      <c r="C167" s="1" t="str">
        <f>IF(B167="","",IF(COUNTIFS(Inventory!$A$12:$A$61,B167)=1,VLOOKUP(B167,Inventory!$A$12:$B$61,2,FALSE),"CHECK ITEM CODE"))</f>
        <v/>
      </c>
      <c r="D167" s="4"/>
      <c r="E167" s="8"/>
      <c r="F167" s="4"/>
      <c r="G167" s="4"/>
      <c r="H167" s="1" t="str">
        <f>IF(COUNTA(A167:B167,D167:G167)=0,"",IF(OR(A167="",B167="",D167="",E167=""),"COMPLETE ENTRY",IF(COUNTIFS(Inventory!$A$12:$A$61,B167)&lt;&gt;1,"CHECK ITEM CODE",IF(OR(NOT(ISNUMBER(A167)),A167&lt;=0),"CHECK DATE",IF(AND(D167&lt;&gt;"IN",D167&lt;&gt;"OUT"),"USE IN OR OUT",IF(OR(NOT(ISNUMBER(E167)),E167&lt;=0),"POSITIVE QTY NEEDED","OK"))))))</f>
        <v/>
      </c>
      <c r="I167" s="1"/>
      <c r="J167" s="1"/>
      <c r="K167" s="1"/>
    </row>
    <row r="168" spans="1:11" ht="24" customHeight="1">
      <c r="A168" s="7"/>
      <c r="B168" s="4"/>
      <c r="C168" s="1" t="str">
        <f>IF(B168="","",IF(COUNTIFS(Inventory!$A$12:$A$61,B168)=1,VLOOKUP(B168,Inventory!$A$12:$B$61,2,FALSE),"CHECK ITEM CODE"))</f>
        <v/>
      </c>
      <c r="D168" s="4"/>
      <c r="E168" s="8"/>
      <c r="F168" s="4"/>
      <c r="G168" s="4"/>
      <c r="H168" s="1" t="str">
        <f>IF(COUNTA(A168:B168,D168:G168)=0,"",IF(OR(A168="",B168="",D168="",E168=""),"COMPLETE ENTRY",IF(COUNTIFS(Inventory!$A$12:$A$61,B168)&lt;&gt;1,"CHECK ITEM CODE",IF(OR(NOT(ISNUMBER(A168)),A168&lt;=0),"CHECK DATE",IF(AND(D168&lt;&gt;"IN",D168&lt;&gt;"OUT"),"USE IN OR OUT",IF(OR(NOT(ISNUMBER(E168)),E168&lt;=0),"POSITIVE QTY NEEDED","OK"))))))</f>
        <v/>
      </c>
      <c r="I168" s="1"/>
      <c r="J168" s="1"/>
      <c r="K168" s="1"/>
    </row>
    <row r="169" spans="1:11" ht="24" customHeight="1">
      <c r="A169" s="7"/>
      <c r="B169" s="4"/>
      <c r="C169" s="1" t="str">
        <f>IF(B169="","",IF(COUNTIFS(Inventory!$A$12:$A$61,B169)=1,VLOOKUP(B169,Inventory!$A$12:$B$61,2,FALSE),"CHECK ITEM CODE"))</f>
        <v/>
      </c>
      <c r="D169" s="4"/>
      <c r="E169" s="8"/>
      <c r="F169" s="4"/>
      <c r="G169" s="4"/>
      <c r="H169" s="1" t="str">
        <f>IF(COUNTA(A169:B169,D169:G169)=0,"",IF(OR(A169="",B169="",D169="",E169=""),"COMPLETE ENTRY",IF(COUNTIFS(Inventory!$A$12:$A$61,B169)&lt;&gt;1,"CHECK ITEM CODE",IF(OR(NOT(ISNUMBER(A169)),A169&lt;=0),"CHECK DATE",IF(AND(D169&lt;&gt;"IN",D169&lt;&gt;"OUT"),"USE IN OR OUT",IF(OR(NOT(ISNUMBER(E169)),E169&lt;=0),"POSITIVE QTY NEEDED","OK"))))))</f>
        <v/>
      </c>
      <c r="I169" s="1"/>
      <c r="J169" s="1"/>
      <c r="K169" s="1"/>
    </row>
    <row r="170" spans="1:11" ht="24" customHeight="1">
      <c r="A170" s="7"/>
      <c r="B170" s="4"/>
      <c r="C170" s="1" t="str">
        <f>IF(B170="","",IF(COUNTIFS(Inventory!$A$12:$A$61,B170)=1,VLOOKUP(B170,Inventory!$A$12:$B$61,2,FALSE),"CHECK ITEM CODE"))</f>
        <v/>
      </c>
      <c r="D170" s="4"/>
      <c r="E170" s="8"/>
      <c r="F170" s="4"/>
      <c r="G170" s="4"/>
      <c r="H170" s="1" t="str">
        <f>IF(COUNTA(A170:B170,D170:G170)=0,"",IF(OR(A170="",B170="",D170="",E170=""),"COMPLETE ENTRY",IF(COUNTIFS(Inventory!$A$12:$A$61,B170)&lt;&gt;1,"CHECK ITEM CODE",IF(OR(NOT(ISNUMBER(A170)),A170&lt;=0),"CHECK DATE",IF(AND(D170&lt;&gt;"IN",D170&lt;&gt;"OUT"),"USE IN OR OUT",IF(OR(NOT(ISNUMBER(E170)),E170&lt;=0),"POSITIVE QTY NEEDED","OK"))))))</f>
        <v/>
      </c>
      <c r="I170" s="1"/>
      <c r="J170" s="1"/>
      <c r="K170" s="1"/>
    </row>
    <row r="171" spans="1:11" ht="24" customHeight="1">
      <c r="A171" s="7"/>
      <c r="B171" s="4"/>
      <c r="C171" s="1" t="str">
        <f>IF(B171="","",IF(COUNTIFS(Inventory!$A$12:$A$61,B171)=1,VLOOKUP(B171,Inventory!$A$12:$B$61,2,FALSE),"CHECK ITEM CODE"))</f>
        <v/>
      </c>
      <c r="D171" s="4"/>
      <c r="E171" s="8"/>
      <c r="F171" s="4"/>
      <c r="G171" s="4"/>
      <c r="H171" s="1" t="str">
        <f>IF(COUNTA(A171:B171,D171:G171)=0,"",IF(OR(A171="",B171="",D171="",E171=""),"COMPLETE ENTRY",IF(COUNTIFS(Inventory!$A$12:$A$61,B171)&lt;&gt;1,"CHECK ITEM CODE",IF(OR(NOT(ISNUMBER(A171)),A171&lt;=0),"CHECK DATE",IF(AND(D171&lt;&gt;"IN",D171&lt;&gt;"OUT"),"USE IN OR OUT",IF(OR(NOT(ISNUMBER(E171)),E171&lt;=0),"POSITIVE QTY NEEDED","OK"))))))</f>
        <v/>
      </c>
      <c r="I171" s="1"/>
      <c r="J171" s="1"/>
      <c r="K171" s="1"/>
    </row>
    <row r="172" spans="1:11" ht="24" customHeight="1">
      <c r="A172" s="7"/>
      <c r="B172" s="4"/>
      <c r="C172" s="1" t="str">
        <f>IF(B172="","",IF(COUNTIFS(Inventory!$A$12:$A$61,B172)=1,VLOOKUP(B172,Inventory!$A$12:$B$61,2,FALSE),"CHECK ITEM CODE"))</f>
        <v/>
      </c>
      <c r="D172" s="4"/>
      <c r="E172" s="8"/>
      <c r="F172" s="4"/>
      <c r="G172" s="4"/>
      <c r="H172" s="1" t="str">
        <f>IF(COUNTA(A172:B172,D172:G172)=0,"",IF(OR(A172="",B172="",D172="",E172=""),"COMPLETE ENTRY",IF(COUNTIFS(Inventory!$A$12:$A$61,B172)&lt;&gt;1,"CHECK ITEM CODE",IF(OR(NOT(ISNUMBER(A172)),A172&lt;=0),"CHECK DATE",IF(AND(D172&lt;&gt;"IN",D172&lt;&gt;"OUT"),"USE IN OR OUT",IF(OR(NOT(ISNUMBER(E172)),E172&lt;=0),"POSITIVE QTY NEEDED","OK"))))))</f>
        <v/>
      </c>
      <c r="I172" s="1"/>
      <c r="J172" s="1"/>
      <c r="K172" s="1"/>
    </row>
    <row r="173" spans="1:11" ht="24" customHeight="1">
      <c r="A173" s="7"/>
      <c r="B173" s="4"/>
      <c r="C173" s="1" t="str">
        <f>IF(B173="","",IF(COUNTIFS(Inventory!$A$12:$A$61,B173)=1,VLOOKUP(B173,Inventory!$A$12:$B$61,2,FALSE),"CHECK ITEM CODE"))</f>
        <v/>
      </c>
      <c r="D173" s="4"/>
      <c r="E173" s="8"/>
      <c r="F173" s="4"/>
      <c r="G173" s="4"/>
      <c r="H173" s="1" t="str">
        <f>IF(COUNTA(A173:B173,D173:G173)=0,"",IF(OR(A173="",B173="",D173="",E173=""),"COMPLETE ENTRY",IF(COUNTIFS(Inventory!$A$12:$A$61,B173)&lt;&gt;1,"CHECK ITEM CODE",IF(OR(NOT(ISNUMBER(A173)),A173&lt;=0),"CHECK DATE",IF(AND(D173&lt;&gt;"IN",D173&lt;&gt;"OUT"),"USE IN OR OUT",IF(OR(NOT(ISNUMBER(E173)),E173&lt;=0),"POSITIVE QTY NEEDED","OK"))))))</f>
        <v/>
      </c>
      <c r="I173" s="1"/>
      <c r="J173" s="1"/>
      <c r="K173" s="1"/>
    </row>
    <row r="174" spans="1:11" ht="24" customHeight="1">
      <c r="A174" s="7"/>
      <c r="B174" s="4"/>
      <c r="C174" s="1" t="str">
        <f>IF(B174="","",IF(COUNTIFS(Inventory!$A$12:$A$61,B174)=1,VLOOKUP(B174,Inventory!$A$12:$B$61,2,FALSE),"CHECK ITEM CODE"))</f>
        <v/>
      </c>
      <c r="D174" s="4"/>
      <c r="E174" s="8"/>
      <c r="F174" s="4"/>
      <c r="G174" s="4"/>
      <c r="H174" s="1" t="str">
        <f>IF(COUNTA(A174:B174,D174:G174)=0,"",IF(OR(A174="",B174="",D174="",E174=""),"COMPLETE ENTRY",IF(COUNTIFS(Inventory!$A$12:$A$61,B174)&lt;&gt;1,"CHECK ITEM CODE",IF(OR(NOT(ISNUMBER(A174)),A174&lt;=0),"CHECK DATE",IF(AND(D174&lt;&gt;"IN",D174&lt;&gt;"OUT"),"USE IN OR OUT",IF(OR(NOT(ISNUMBER(E174)),E174&lt;=0),"POSITIVE QTY NEEDED","OK"))))))</f>
        <v/>
      </c>
      <c r="I174" s="1"/>
      <c r="J174" s="1"/>
      <c r="K174" s="1"/>
    </row>
    <row r="175" spans="1:11" ht="24" customHeight="1">
      <c r="A175" s="7"/>
      <c r="B175" s="4"/>
      <c r="C175" s="1" t="str">
        <f>IF(B175="","",IF(COUNTIFS(Inventory!$A$12:$A$61,B175)=1,VLOOKUP(B175,Inventory!$A$12:$B$61,2,FALSE),"CHECK ITEM CODE"))</f>
        <v/>
      </c>
      <c r="D175" s="4"/>
      <c r="E175" s="8"/>
      <c r="F175" s="4"/>
      <c r="G175" s="4"/>
      <c r="H175" s="1" t="str">
        <f>IF(COUNTA(A175:B175,D175:G175)=0,"",IF(OR(A175="",B175="",D175="",E175=""),"COMPLETE ENTRY",IF(COUNTIFS(Inventory!$A$12:$A$61,B175)&lt;&gt;1,"CHECK ITEM CODE",IF(OR(NOT(ISNUMBER(A175)),A175&lt;=0),"CHECK DATE",IF(AND(D175&lt;&gt;"IN",D175&lt;&gt;"OUT"),"USE IN OR OUT",IF(OR(NOT(ISNUMBER(E175)),E175&lt;=0),"POSITIVE QTY NEEDED","OK"))))))</f>
        <v/>
      </c>
      <c r="I175" s="1"/>
      <c r="J175" s="1"/>
      <c r="K175" s="1"/>
    </row>
    <row r="176" spans="1:11" ht="24" customHeight="1">
      <c r="A176" s="7"/>
      <c r="B176" s="4"/>
      <c r="C176" s="1" t="str">
        <f>IF(B176="","",IF(COUNTIFS(Inventory!$A$12:$A$61,B176)=1,VLOOKUP(B176,Inventory!$A$12:$B$61,2,FALSE),"CHECK ITEM CODE"))</f>
        <v/>
      </c>
      <c r="D176" s="4"/>
      <c r="E176" s="8"/>
      <c r="F176" s="4"/>
      <c r="G176" s="4"/>
      <c r="H176" s="1" t="str">
        <f>IF(COUNTA(A176:B176,D176:G176)=0,"",IF(OR(A176="",B176="",D176="",E176=""),"COMPLETE ENTRY",IF(COUNTIFS(Inventory!$A$12:$A$61,B176)&lt;&gt;1,"CHECK ITEM CODE",IF(OR(NOT(ISNUMBER(A176)),A176&lt;=0),"CHECK DATE",IF(AND(D176&lt;&gt;"IN",D176&lt;&gt;"OUT"),"USE IN OR OUT",IF(OR(NOT(ISNUMBER(E176)),E176&lt;=0),"POSITIVE QTY NEEDED","OK"))))))</f>
        <v/>
      </c>
      <c r="I176" s="1"/>
      <c r="J176" s="1"/>
      <c r="K176" s="1"/>
    </row>
    <row r="177" spans="1:11" ht="24" customHeight="1">
      <c r="A177" s="7"/>
      <c r="B177" s="4"/>
      <c r="C177" s="1" t="str">
        <f>IF(B177="","",IF(COUNTIFS(Inventory!$A$12:$A$61,B177)=1,VLOOKUP(B177,Inventory!$A$12:$B$61,2,FALSE),"CHECK ITEM CODE"))</f>
        <v/>
      </c>
      <c r="D177" s="4"/>
      <c r="E177" s="8"/>
      <c r="F177" s="4"/>
      <c r="G177" s="4"/>
      <c r="H177" s="1" t="str">
        <f>IF(COUNTA(A177:B177,D177:G177)=0,"",IF(OR(A177="",B177="",D177="",E177=""),"COMPLETE ENTRY",IF(COUNTIFS(Inventory!$A$12:$A$61,B177)&lt;&gt;1,"CHECK ITEM CODE",IF(OR(NOT(ISNUMBER(A177)),A177&lt;=0),"CHECK DATE",IF(AND(D177&lt;&gt;"IN",D177&lt;&gt;"OUT"),"USE IN OR OUT",IF(OR(NOT(ISNUMBER(E177)),E177&lt;=0),"POSITIVE QTY NEEDED","OK"))))))</f>
        <v/>
      </c>
      <c r="I177" s="1"/>
      <c r="J177" s="1"/>
      <c r="K177" s="1"/>
    </row>
    <row r="178" spans="1:11" ht="24" customHeight="1">
      <c r="A178" s="7"/>
      <c r="B178" s="4"/>
      <c r="C178" s="1" t="str">
        <f>IF(B178="","",IF(COUNTIFS(Inventory!$A$12:$A$61,B178)=1,VLOOKUP(B178,Inventory!$A$12:$B$61,2,FALSE),"CHECK ITEM CODE"))</f>
        <v/>
      </c>
      <c r="D178" s="4"/>
      <c r="E178" s="8"/>
      <c r="F178" s="4"/>
      <c r="G178" s="4"/>
      <c r="H178" s="1" t="str">
        <f>IF(COUNTA(A178:B178,D178:G178)=0,"",IF(OR(A178="",B178="",D178="",E178=""),"COMPLETE ENTRY",IF(COUNTIFS(Inventory!$A$12:$A$61,B178)&lt;&gt;1,"CHECK ITEM CODE",IF(OR(NOT(ISNUMBER(A178)),A178&lt;=0),"CHECK DATE",IF(AND(D178&lt;&gt;"IN",D178&lt;&gt;"OUT"),"USE IN OR OUT",IF(OR(NOT(ISNUMBER(E178)),E178&lt;=0),"POSITIVE QTY NEEDED","OK"))))))</f>
        <v/>
      </c>
      <c r="I178" s="1"/>
      <c r="J178" s="1"/>
      <c r="K178" s="1"/>
    </row>
    <row r="179" spans="1:11" ht="24" customHeight="1">
      <c r="A179" s="7"/>
      <c r="B179" s="4"/>
      <c r="C179" s="1" t="str">
        <f>IF(B179="","",IF(COUNTIFS(Inventory!$A$12:$A$61,B179)=1,VLOOKUP(B179,Inventory!$A$12:$B$61,2,FALSE),"CHECK ITEM CODE"))</f>
        <v/>
      </c>
      <c r="D179" s="4"/>
      <c r="E179" s="8"/>
      <c r="F179" s="4"/>
      <c r="G179" s="4"/>
      <c r="H179" s="1" t="str">
        <f>IF(COUNTA(A179:B179,D179:G179)=0,"",IF(OR(A179="",B179="",D179="",E179=""),"COMPLETE ENTRY",IF(COUNTIFS(Inventory!$A$12:$A$61,B179)&lt;&gt;1,"CHECK ITEM CODE",IF(OR(NOT(ISNUMBER(A179)),A179&lt;=0),"CHECK DATE",IF(AND(D179&lt;&gt;"IN",D179&lt;&gt;"OUT"),"USE IN OR OUT",IF(OR(NOT(ISNUMBER(E179)),E179&lt;=0),"POSITIVE QTY NEEDED","OK"))))))</f>
        <v/>
      </c>
      <c r="I179" s="1"/>
      <c r="J179" s="1"/>
      <c r="K179" s="1"/>
    </row>
    <row r="180" spans="1:11" ht="24" customHeight="1">
      <c r="A180" s="7"/>
      <c r="B180" s="4"/>
      <c r="C180" s="1" t="str">
        <f>IF(B180="","",IF(COUNTIFS(Inventory!$A$12:$A$61,B180)=1,VLOOKUP(B180,Inventory!$A$12:$B$61,2,FALSE),"CHECK ITEM CODE"))</f>
        <v/>
      </c>
      <c r="D180" s="4"/>
      <c r="E180" s="8"/>
      <c r="F180" s="4"/>
      <c r="G180" s="4"/>
      <c r="H180" s="1" t="str">
        <f>IF(COUNTA(A180:B180,D180:G180)=0,"",IF(OR(A180="",B180="",D180="",E180=""),"COMPLETE ENTRY",IF(COUNTIFS(Inventory!$A$12:$A$61,B180)&lt;&gt;1,"CHECK ITEM CODE",IF(OR(NOT(ISNUMBER(A180)),A180&lt;=0),"CHECK DATE",IF(AND(D180&lt;&gt;"IN",D180&lt;&gt;"OUT"),"USE IN OR OUT",IF(OR(NOT(ISNUMBER(E180)),E180&lt;=0),"POSITIVE QTY NEEDED","OK"))))))</f>
        <v/>
      </c>
      <c r="I180" s="1"/>
      <c r="J180" s="1"/>
      <c r="K180" s="1"/>
    </row>
    <row r="181" spans="1:11" ht="24" customHeight="1">
      <c r="A181" s="7"/>
      <c r="B181" s="4"/>
      <c r="C181" s="1" t="str">
        <f>IF(B181="","",IF(COUNTIFS(Inventory!$A$12:$A$61,B181)=1,VLOOKUP(B181,Inventory!$A$12:$B$61,2,FALSE),"CHECK ITEM CODE"))</f>
        <v/>
      </c>
      <c r="D181" s="4"/>
      <c r="E181" s="8"/>
      <c r="F181" s="4"/>
      <c r="G181" s="4"/>
      <c r="H181" s="1" t="str">
        <f>IF(COUNTA(A181:B181,D181:G181)=0,"",IF(OR(A181="",B181="",D181="",E181=""),"COMPLETE ENTRY",IF(COUNTIFS(Inventory!$A$12:$A$61,B181)&lt;&gt;1,"CHECK ITEM CODE",IF(OR(NOT(ISNUMBER(A181)),A181&lt;=0),"CHECK DATE",IF(AND(D181&lt;&gt;"IN",D181&lt;&gt;"OUT"),"USE IN OR OUT",IF(OR(NOT(ISNUMBER(E181)),E181&lt;=0),"POSITIVE QTY NEEDED","OK"))))))</f>
        <v/>
      </c>
      <c r="I181" s="1"/>
      <c r="J181" s="1"/>
      <c r="K181" s="1"/>
    </row>
    <row r="182" spans="1:11" ht="24" customHeight="1">
      <c r="A182" s="7"/>
      <c r="B182" s="4"/>
      <c r="C182" s="1" t="str">
        <f>IF(B182="","",IF(COUNTIFS(Inventory!$A$12:$A$61,B182)=1,VLOOKUP(B182,Inventory!$A$12:$B$61,2,FALSE),"CHECK ITEM CODE"))</f>
        <v/>
      </c>
      <c r="D182" s="4"/>
      <c r="E182" s="8"/>
      <c r="F182" s="4"/>
      <c r="G182" s="4"/>
      <c r="H182" s="1" t="str">
        <f>IF(COUNTA(A182:B182,D182:G182)=0,"",IF(OR(A182="",B182="",D182="",E182=""),"COMPLETE ENTRY",IF(COUNTIFS(Inventory!$A$12:$A$61,B182)&lt;&gt;1,"CHECK ITEM CODE",IF(OR(NOT(ISNUMBER(A182)),A182&lt;=0),"CHECK DATE",IF(AND(D182&lt;&gt;"IN",D182&lt;&gt;"OUT"),"USE IN OR OUT",IF(OR(NOT(ISNUMBER(E182)),E182&lt;=0),"POSITIVE QTY NEEDED","OK"))))))</f>
        <v/>
      </c>
      <c r="I182" s="1"/>
      <c r="J182" s="1"/>
      <c r="K182" s="1"/>
    </row>
    <row r="183" spans="1:11" ht="24" customHeight="1">
      <c r="A183" s="7"/>
      <c r="B183" s="4"/>
      <c r="C183" s="1" t="str">
        <f>IF(B183="","",IF(COUNTIFS(Inventory!$A$12:$A$61,B183)=1,VLOOKUP(B183,Inventory!$A$12:$B$61,2,FALSE),"CHECK ITEM CODE"))</f>
        <v/>
      </c>
      <c r="D183" s="4"/>
      <c r="E183" s="8"/>
      <c r="F183" s="4"/>
      <c r="G183" s="4"/>
      <c r="H183" s="1" t="str">
        <f>IF(COUNTA(A183:B183,D183:G183)=0,"",IF(OR(A183="",B183="",D183="",E183=""),"COMPLETE ENTRY",IF(COUNTIFS(Inventory!$A$12:$A$61,B183)&lt;&gt;1,"CHECK ITEM CODE",IF(OR(NOT(ISNUMBER(A183)),A183&lt;=0),"CHECK DATE",IF(AND(D183&lt;&gt;"IN",D183&lt;&gt;"OUT"),"USE IN OR OUT",IF(OR(NOT(ISNUMBER(E183)),E183&lt;=0),"POSITIVE QTY NEEDED","OK"))))))</f>
        <v/>
      </c>
      <c r="I183" s="1"/>
      <c r="J183" s="1"/>
      <c r="K183" s="1"/>
    </row>
    <row r="184" spans="1:11" ht="24" customHeight="1">
      <c r="A184" s="7"/>
      <c r="B184" s="4"/>
      <c r="C184" s="1" t="str">
        <f>IF(B184="","",IF(COUNTIFS(Inventory!$A$12:$A$61,B184)=1,VLOOKUP(B184,Inventory!$A$12:$B$61,2,FALSE),"CHECK ITEM CODE"))</f>
        <v/>
      </c>
      <c r="D184" s="4"/>
      <c r="E184" s="8"/>
      <c r="F184" s="4"/>
      <c r="G184" s="4"/>
      <c r="H184" s="1" t="str">
        <f>IF(COUNTA(A184:B184,D184:G184)=0,"",IF(OR(A184="",B184="",D184="",E184=""),"COMPLETE ENTRY",IF(COUNTIFS(Inventory!$A$12:$A$61,B184)&lt;&gt;1,"CHECK ITEM CODE",IF(OR(NOT(ISNUMBER(A184)),A184&lt;=0),"CHECK DATE",IF(AND(D184&lt;&gt;"IN",D184&lt;&gt;"OUT"),"USE IN OR OUT",IF(OR(NOT(ISNUMBER(E184)),E184&lt;=0),"POSITIVE QTY NEEDED","OK"))))))</f>
        <v/>
      </c>
      <c r="I184" s="1"/>
      <c r="J184" s="1"/>
      <c r="K184" s="1"/>
    </row>
    <row r="185" spans="1:11" ht="24" customHeight="1">
      <c r="A185" s="7"/>
      <c r="B185" s="4"/>
      <c r="C185" s="1" t="str">
        <f>IF(B185="","",IF(COUNTIFS(Inventory!$A$12:$A$61,B185)=1,VLOOKUP(B185,Inventory!$A$12:$B$61,2,FALSE),"CHECK ITEM CODE"))</f>
        <v/>
      </c>
      <c r="D185" s="4"/>
      <c r="E185" s="8"/>
      <c r="F185" s="4"/>
      <c r="G185" s="4"/>
      <c r="H185" s="1" t="str">
        <f>IF(COUNTA(A185:B185,D185:G185)=0,"",IF(OR(A185="",B185="",D185="",E185=""),"COMPLETE ENTRY",IF(COUNTIFS(Inventory!$A$12:$A$61,B185)&lt;&gt;1,"CHECK ITEM CODE",IF(OR(NOT(ISNUMBER(A185)),A185&lt;=0),"CHECK DATE",IF(AND(D185&lt;&gt;"IN",D185&lt;&gt;"OUT"),"USE IN OR OUT",IF(OR(NOT(ISNUMBER(E185)),E185&lt;=0),"POSITIVE QTY NEEDED","OK"))))))</f>
        <v/>
      </c>
      <c r="I185" s="1"/>
      <c r="J185" s="1"/>
      <c r="K185" s="1"/>
    </row>
    <row r="186" spans="1:11" ht="24" customHeight="1">
      <c r="A186" s="7"/>
      <c r="B186" s="4"/>
      <c r="C186" s="1" t="str">
        <f>IF(B186="","",IF(COUNTIFS(Inventory!$A$12:$A$61,B186)=1,VLOOKUP(B186,Inventory!$A$12:$B$61,2,FALSE),"CHECK ITEM CODE"))</f>
        <v/>
      </c>
      <c r="D186" s="4"/>
      <c r="E186" s="8"/>
      <c r="F186" s="4"/>
      <c r="G186" s="4"/>
      <c r="H186" s="1" t="str">
        <f>IF(COUNTA(A186:B186,D186:G186)=0,"",IF(OR(A186="",B186="",D186="",E186=""),"COMPLETE ENTRY",IF(COUNTIFS(Inventory!$A$12:$A$61,B186)&lt;&gt;1,"CHECK ITEM CODE",IF(OR(NOT(ISNUMBER(A186)),A186&lt;=0),"CHECK DATE",IF(AND(D186&lt;&gt;"IN",D186&lt;&gt;"OUT"),"USE IN OR OUT",IF(OR(NOT(ISNUMBER(E186)),E186&lt;=0),"POSITIVE QTY NEEDED","OK"))))))</f>
        <v/>
      </c>
      <c r="I186" s="1"/>
      <c r="J186" s="1"/>
      <c r="K186" s="1"/>
    </row>
    <row r="187" spans="1:11" ht="24" customHeight="1">
      <c r="A187" s="7"/>
      <c r="B187" s="4"/>
      <c r="C187" s="1" t="str">
        <f>IF(B187="","",IF(COUNTIFS(Inventory!$A$12:$A$61,B187)=1,VLOOKUP(B187,Inventory!$A$12:$B$61,2,FALSE),"CHECK ITEM CODE"))</f>
        <v/>
      </c>
      <c r="D187" s="4"/>
      <c r="E187" s="8"/>
      <c r="F187" s="4"/>
      <c r="G187" s="4"/>
      <c r="H187" s="1" t="str">
        <f>IF(COUNTA(A187:B187,D187:G187)=0,"",IF(OR(A187="",B187="",D187="",E187=""),"COMPLETE ENTRY",IF(COUNTIFS(Inventory!$A$12:$A$61,B187)&lt;&gt;1,"CHECK ITEM CODE",IF(OR(NOT(ISNUMBER(A187)),A187&lt;=0),"CHECK DATE",IF(AND(D187&lt;&gt;"IN",D187&lt;&gt;"OUT"),"USE IN OR OUT",IF(OR(NOT(ISNUMBER(E187)),E187&lt;=0),"POSITIVE QTY NEEDED","OK"))))))</f>
        <v/>
      </c>
      <c r="I187" s="1"/>
      <c r="J187" s="1"/>
      <c r="K187" s="1"/>
    </row>
    <row r="188" spans="1:11" ht="24" customHeight="1">
      <c r="A188" s="7"/>
      <c r="B188" s="4"/>
      <c r="C188" s="1" t="str">
        <f>IF(B188="","",IF(COUNTIFS(Inventory!$A$12:$A$61,B188)=1,VLOOKUP(B188,Inventory!$A$12:$B$61,2,FALSE),"CHECK ITEM CODE"))</f>
        <v/>
      </c>
      <c r="D188" s="4"/>
      <c r="E188" s="8"/>
      <c r="F188" s="4"/>
      <c r="G188" s="4"/>
      <c r="H188" s="1" t="str">
        <f>IF(COUNTA(A188:B188,D188:G188)=0,"",IF(OR(A188="",B188="",D188="",E188=""),"COMPLETE ENTRY",IF(COUNTIFS(Inventory!$A$12:$A$61,B188)&lt;&gt;1,"CHECK ITEM CODE",IF(OR(NOT(ISNUMBER(A188)),A188&lt;=0),"CHECK DATE",IF(AND(D188&lt;&gt;"IN",D188&lt;&gt;"OUT"),"USE IN OR OUT",IF(OR(NOT(ISNUMBER(E188)),E188&lt;=0),"POSITIVE QTY NEEDED","OK"))))))</f>
        <v/>
      </c>
      <c r="I188" s="1"/>
      <c r="J188" s="1"/>
      <c r="K188" s="1"/>
    </row>
    <row r="189" spans="1:11" ht="24" customHeight="1">
      <c r="A189" s="7"/>
      <c r="B189" s="4"/>
      <c r="C189" s="1" t="str">
        <f>IF(B189="","",IF(COUNTIFS(Inventory!$A$12:$A$61,B189)=1,VLOOKUP(B189,Inventory!$A$12:$B$61,2,FALSE),"CHECK ITEM CODE"))</f>
        <v/>
      </c>
      <c r="D189" s="4"/>
      <c r="E189" s="8"/>
      <c r="F189" s="4"/>
      <c r="G189" s="4"/>
      <c r="H189" s="1" t="str">
        <f>IF(COUNTA(A189:B189,D189:G189)=0,"",IF(OR(A189="",B189="",D189="",E189=""),"COMPLETE ENTRY",IF(COUNTIFS(Inventory!$A$12:$A$61,B189)&lt;&gt;1,"CHECK ITEM CODE",IF(OR(NOT(ISNUMBER(A189)),A189&lt;=0),"CHECK DATE",IF(AND(D189&lt;&gt;"IN",D189&lt;&gt;"OUT"),"USE IN OR OUT",IF(OR(NOT(ISNUMBER(E189)),E189&lt;=0),"POSITIVE QTY NEEDED","OK"))))))</f>
        <v/>
      </c>
      <c r="I189" s="1"/>
      <c r="J189" s="1"/>
      <c r="K189" s="1"/>
    </row>
    <row r="190" spans="1:11" ht="24" customHeight="1">
      <c r="A190" s="7"/>
      <c r="B190" s="4"/>
      <c r="C190" s="1" t="str">
        <f>IF(B190="","",IF(COUNTIFS(Inventory!$A$12:$A$61,B190)=1,VLOOKUP(B190,Inventory!$A$12:$B$61,2,FALSE),"CHECK ITEM CODE"))</f>
        <v/>
      </c>
      <c r="D190" s="4"/>
      <c r="E190" s="8"/>
      <c r="F190" s="4"/>
      <c r="G190" s="4"/>
      <c r="H190" s="1" t="str">
        <f>IF(COUNTA(A190:B190,D190:G190)=0,"",IF(OR(A190="",B190="",D190="",E190=""),"COMPLETE ENTRY",IF(COUNTIFS(Inventory!$A$12:$A$61,B190)&lt;&gt;1,"CHECK ITEM CODE",IF(OR(NOT(ISNUMBER(A190)),A190&lt;=0),"CHECK DATE",IF(AND(D190&lt;&gt;"IN",D190&lt;&gt;"OUT"),"USE IN OR OUT",IF(OR(NOT(ISNUMBER(E190)),E190&lt;=0),"POSITIVE QTY NEEDED","OK"))))))</f>
        <v/>
      </c>
      <c r="I190" s="1"/>
      <c r="J190" s="1"/>
      <c r="K190" s="1"/>
    </row>
    <row r="191" spans="1:11" ht="24" customHeight="1">
      <c r="A191" s="7"/>
      <c r="B191" s="4"/>
      <c r="C191" s="1" t="str">
        <f>IF(B191="","",IF(COUNTIFS(Inventory!$A$12:$A$61,B191)=1,VLOOKUP(B191,Inventory!$A$12:$B$61,2,FALSE),"CHECK ITEM CODE"))</f>
        <v/>
      </c>
      <c r="D191" s="4"/>
      <c r="E191" s="8"/>
      <c r="F191" s="4"/>
      <c r="G191" s="4"/>
      <c r="H191" s="1" t="str">
        <f>IF(COUNTA(A191:B191,D191:G191)=0,"",IF(OR(A191="",B191="",D191="",E191=""),"COMPLETE ENTRY",IF(COUNTIFS(Inventory!$A$12:$A$61,B191)&lt;&gt;1,"CHECK ITEM CODE",IF(OR(NOT(ISNUMBER(A191)),A191&lt;=0),"CHECK DATE",IF(AND(D191&lt;&gt;"IN",D191&lt;&gt;"OUT"),"USE IN OR OUT",IF(OR(NOT(ISNUMBER(E191)),E191&lt;=0),"POSITIVE QTY NEEDED","OK"))))))</f>
        <v/>
      </c>
      <c r="I191" s="1"/>
      <c r="J191" s="1"/>
      <c r="K191" s="1"/>
    </row>
    <row r="192" spans="1:11" ht="24" customHeight="1">
      <c r="A192" s="7"/>
      <c r="B192" s="4"/>
      <c r="C192" s="1" t="str">
        <f>IF(B192="","",IF(COUNTIFS(Inventory!$A$12:$A$61,B192)=1,VLOOKUP(B192,Inventory!$A$12:$B$61,2,FALSE),"CHECK ITEM CODE"))</f>
        <v/>
      </c>
      <c r="D192" s="4"/>
      <c r="E192" s="8"/>
      <c r="F192" s="4"/>
      <c r="G192" s="4"/>
      <c r="H192" s="1" t="str">
        <f>IF(COUNTA(A192:B192,D192:G192)=0,"",IF(OR(A192="",B192="",D192="",E192=""),"COMPLETE ENTRY",IF(COUNTIFS(Inventory!$A$12:$A$61,B192)&lt;&gt;1,"CHECK ITEM CODE",IF(OR(NOT(ISNUMBER(A192)),A192&lt;=0),"CHECK DATE",IF(AND(D192&lt;&gt;"IN",D192&lt;&gt;"OUT"),"USE IN OR OUT",IF(OR(NOT(ISNUMBER(E192)),E192&lt;=0),"POSITIVE QTY NEEDED","OK"))))))</f>
        <v/>
      </c>
      <c r="I192" s="1"/>
      <c r="J192" s="1"/>
      <c r="K192" s="1"/>
    </row>
    <row r="193" spans="1:11" ht="24" customHeight="1">
      <c r="A193" s="7"/>
      <c r="B193" s="4"/>
      <c r="C193" s="1" t="str">
        <f>IF(B193="","",IF(COUNTIFS(Inventory!$A$12:$A$61,B193)=1,VLOOKUP(B193,Inventory!$A$12:$B$61,2,FALSE),"CHECK ITEM CODE"))</f>
        <v/>
      </c>
      <c r="D193" s="4"/>
      <c r="E193" s="8"/>
      <c r="F193" s="4"/>
      <c r="G193" s="4"/>
      <c r="H193" s="1" t="str">
        <f>IF(COUNTA(A193:B193,D193:G193)=0,"",IF(OR(A193="",B193="",D193="",E193=""),"COMPLETE ENTRY",IF(COUNTIFS(Inventory!$A$12:$A$61,B193)&lt;&gt;1,"CHECK ITEM CODE",IF(OR(NOT(ISNUMBER(A193)),A193&lt;=0),"CHECK DATE",IF(AND(D193&lt;&gt;"IN",D193&lt;&gt;"OUT"),"USE IN OR OUT",IF(OR(NOT(ISNUMBER(E193)),E193&lt;=0),"POSITIVE QTY NEEDED","OK"))))))</f>
        <v/>
      </c>
      <c r="I193" s="1"/>
      <c r="J193" s="1"/>
      <c r="K193" s="1"/>
    </row>
    <row r="194" spans="1:11" ht="24" customHeight="1">
      <c r="A194" s="7"/>
      <c r="B194" s="4"/>
      <c r="C194" s="1" t="str">
        <f>IF(B194="","",IF(COUNTIFS(Inventory!$A$12:$A$61,B194)=1,VLOOKUP(B194,Inventory!$A$12:$B$61,2,FALSE),"CHECK ITEM CODE"))</f>
        <v/>
      </c>
      <c r="D194" s="4"/>
      <c r="E194" s="8"/>
      <c r="F194" s="4"/>
      <c r="G194" s="4"/>
      <c r="H194" s="1" t="str">
        <f>IF(COUNTA(A194:B194,D194:G194)=0,"",IF(OR(A194="",B194="",D194="",E194=""),"COMPLETE ENTRY",IF(COUNTIFS(Inventory!$A$12:$A$61,B194)&lt;&gt;1,"CHECK ITEM CODE",IF(OR(NOT(ISNUMBER(A194)),A194&lt;=0),"CHECK DATE",IF(AND(D194&lt;&gt;"IN",D194&lt;&gt;"OUT"),"USE IN OR OUT",IF(OR(NOT(ISNUMBER(E194)),E194&lt;=0),"POSITIVE QTY NEEDED","OK"))))))</f>
        <v/>
      </c>
      <c r="I194" s="1"/>
      <c r="J194" s="1"/>
      <c r="K194" s="1"/>
    </row>
    <row r="195" spans="1:11" ht="24" customHeight="1">
      <c r="A195" s="7"/>
      <c r="B195" s="4"/>
      <c r="C195" s="1" t="str">
        <f>IF(B195="","",IF(COUNTIFS(Inventory!$A$12:$A$61,B195)=1,VLOOKUP(B195,Inventory!$A$12:$B$61,2,FALSE),"CHECK ITEM CODE"))</f>
        <v/>
      </c>
      <c r="D195" s="4"/>
      <c r="E195" s="8"/>
      <c r="F195" s="4"/>
      <c r="G195" s="4"/>
      <c r="H195" s="1" t="str">
        <f>IF(COUNTA(A195:B195,D195:G195)=0,"",IF(OR(A195="",B195="",D195="",E195=""),"COMPLETE ENTRY",IF(COUNTIFS(Inventory!$A$12:$A$61,B195)&lt;&gt;1,"CHECK ITEM CODE",IF(OR(NOT(ISNUMBER(A195)),A195&lt;=0),"CHECK DATE",IF(AND(D195&lt;&gt;"IN",D195&lt;&gt;"OUT"),"USE IN OR OUT",IF(OR(NOT(ISNUMBER(E195)),E195&lt;=0),"POSITIVE QTY NEEDED","OK"))))))</f>
        <v/>
      </c>
      <c r="I195" s="1"/>
      <c r="J195" s="1"/>
      <c r="K195" s="1"/>
    </row>
    <row r="196" spans="1:11" ht="24" customHeight="1">
      <c r="A196" s="7"/>
      <c r="B196" s="4"/>
      <c r="C196" s="1" t="str">
        <f>IF(B196="","",IF(COUNTIFS(Inventory!$A$12:$A$61,B196)=1,VLOOKUP(B196,Inventory!$A$12:$B$61,2,FALSE),"CHECK ITEM CODE"))</f>
        <v/>
      </c>
      <c r="D196" s="4"/>
      <c r="E196" s="8"/>
      <c r="F196" s="4"/>
      <c r="G196" s="4"/>
      <c r="H196" s="1" t="str">
        <f>IF(COUNTA(A196:B196,D196:G196)=0,"",IF(OR(A196="",B196="",D196="",E196=""),"COMPLETE ENTRY",IF(COUNTIFS(Inventory!$A$12:$A$61,B196)&lt;&gt;1,"CHECK ITEM CODE",IF(OR(NOT(ISNUMBER(A196)),A196&lt;=0),"CHECK DATE",IF(AND(D196&lt;&gt;"IN",D196&lt;&gt;"OUT"),"USE IN OR OUT",IF(OR(NOT(ISNUMBER(E196)),E196&lt;=0),"POSITIVE QTY NEEDED","OK"))))))</f>
        <v/>
      </c>
      <c r="I196" s="1"/>
      <c r="J196" s="1"/>
      <c r="K196" s="1"/>
    </row>
    <row r="197" spans="1:11" ht="24" customHeight="1">
      <c r="A197" s="7"/>
      <c r="B197" s="4"/>
      <c r="C197" s="1" t="str">
        <f>IF(B197="","",IF(COUNTIFS(Inventory!$A$12:$A$61,B197)=1,VLOOKUP(B197,Inventory!$A$12:$B$61,2,FALSE),"CHECK ITEM CODE"))</f>
        <v/>
      </c>
      <c r="D197" s="4"/>
      <c r="E197" s="8"/>
      <c r="F197" s="4"/>
      <c r="G197" s="4"/>
      <c r="H197" s="1" t="str">
        <f>IF(COUNTA(A197:B197,D197:G197)=0,"",IF(OR(A197="",B197="",D197="",E197=""),"COMPLETE ENTRY",IF(COUNTIFS(Inventory!$A$12:$A$61,B197)&lt;&gt;1,"CHECK ITEM CODE",IF(OR(NOT(ISNUMBER(A197)),A197&lt;=0),"CHECK DATE",IF(AND(D197&lt;&gt;"IN",D197&lt;&gt;"OUT"),"USE IN OR OUT",IF(OR(NOT(ISNUMBER(E197)),E197&lt;=0),"POSITIVE QTY NEEDED","OK"))))))</f>
        <v/>
      </c>
      <c r="I197" s="1"/>
      <c r="J197" s="1"/>
      <c r="K197" s="1"/>
    </row>
    <row r="198" spans="1:11" ht="24" customHeight="1">
      <c r="A198" s="7"/>
      <c r="B198" s="4"/>
      <c r="C198" s="1" t="str">
        <f>IF(B198="","",IF(COUNTIFS(Inventory!$A$12:$A$61,B198)=1,VLOOKUP(B198,Inventory!$A$12:$B$61,2,FALSE),"CHECK ITEM CODE"))</f>
        <v/>
      </c>
      <c r="D198" s="4"/>
      <c r="E198" s="8"/>
      <c r="F198" s="4"/>
      <c r="G198" s="4"/>
      <c r="H198" s="1" t="str">
        <f>IF(COUNTA(A198:B198,D198:G198)=0,"",IF(OR(A198="",B198="",D198="",E198=""),"COMPLETE ENTRY",IF(COUNTIFS(Inventory!$A$12:$A$61,B198)&lt;&gt;1,"CHECK ITEM CODE",IF(OR(NOT(ISNUMBER(A198)),A198&lt;=0),"CHECK DATE",IF(AND(D198&lt;&gt;"IN",D198&lt;&gt;"OUT"),"USE IN OR OUT",IF(OR(NOT(ISNUMBER(E198)),E198&lt;=0),"POSITIVE QTY NEEDED","OK"))))))</f>
        <v/>
      </c>
      <c r="I198" s="1"/>
      <c r="J198" s="1"/>
      <c r="K198" s="1"/>
    </row>
    <row r="199" spans="1:11" ht="24" customHeight="1">
      <c r="A199" s="7"/>
      <c r="B199" s="4"/>
      <c r="C199" s="1" t="str">
        <f>IF(B199="","",IF(COUNTIFS(Inventory!$A$12:$A$61,B199)=1,VLOOKUP(B199,Inventory!$A$12:$B$61,2,FALSE),"CHECK ITEM CODE"))</f>
        <v/>
      </c>
      <c r="D199" s="4"/>
      <c r="E199" s="8"/>
      <c r="F199" s="4"/>
      <c r="G199" s="4"/>
      <c r="H199" s="1" t="str">
        <f>IF(COUNTA(A199:B199,D199:G199)=0,"",IF(OR(A199="",B199="",D199="",E199=""),"COMPLETE ENTRY",IF(COUNTIFS(Inventory!$A$12:$A$61,B199)&lt;&gt;1,"CHECK ITEM CODE",IF(OR(NOT(ISNUMBER(A199)),A199&lt;=0),"CHECK DATE",IF(AND(D199&lt;&gt;"IN",D199&lt;&gt;"OUT"),"USE IN OR OUT",IF(OR(NOT(ISNUMBER(E199)),E199&lt;=0),"POSITIVE QTY NEEDED","OK"))))))</f>
        <v/>
      </c>
      <c r="I199" s="1"/>
      <c r="J199" s="1"/>
      <c r="K199" s="1"/>
    </row>
    <row r="200" spans="1:11" ht="24" customHeight="1">
      <c r="A200" s="7"/>
      <c r="B200" s="4"/>
      <c r="C200" s="1" t="str">
        <f>IF(B200="","",IF(COUNTIFS(Inventory!$A$12:$A$61,B200)=1,VLOOKUP(B200,Inventory!$A$12:$B$61,2,FALSE),"CHECK ITEM CODE"))</f>
        <v/>
      </c>
      <c r="D200" s="4"/>
      <c r="E200" s="8"/>
      <c r="F200" s="4"/>
      <c r="G200" s="4"/>
      <c r="H200" s="1" t="str">
        <f>IF(COUNTA(A200:B200,D200:G200)=0,"",IF(OR(A200="",B200="",D200="",E200=""),"COMPLETE ENTRY",IF(COUNTIFS(Inventory!$A$12:$A$61,B200)&lt;&gt;1,"CHECK ITEM CODE",IF(OR(NOT(ISNUMBER(A200)),A200&lt;=0),"CHECK DATE",IF(AND(D200&lt;&gt;"IN",D200&lt;&gt;"OUT"),"USE IN OR OUT",IF(OR(NOT(ISNUMBER(E200)),E200&lt;=0),"POSITIVE QTY NEEDED","OK"))))))</f>
        <v/>
      </c>
      <c r="I200" s="1"/>
      <c r="J200" s="1"/>
      <c r="K200" s="1"/>
    </row>
    <row r="201" spans="1:11" ht="24" customHeight="1">
      <c r="A201" s="7"/>
      <c r="B201" s="4"/>
      <c r="C201" s="1" t="str">
        <f>IF(B201="","",IF(COUNTIFS(Inventory!$A$12:$A$61,B201)=1,VLOOKUP(B201,Inventory!$A$12:$B$61,2,FALSE),"CHECK ITEM CODE"))</f>
        <v/>
      </c>
      <c r="D201" s="4"/>
      <c r="E201" s="8"/>
      <c r="F201" s="4"/>
      <c r="G201" s="4"/>
      <c r="H201" s="1" t="str">
        <f>IF(COUNTA(A201:B201,D201:G201)=0,"",IF(OR(A201="",B201="",D201="",E201=""),"COMPLETE ENTRY",IF(COUNTIFS(Inventory!$A$12:$A$61,B201)&lt;&gt;1,"CHECK ITEM CODE",IF(OR(NOT(ISNUMBER(A201)),A201&lt;=0),"CHECK DATE",IF(AND(D201&lt;&gt;"IN",D201&lt;&gt;"OUT"),"USE IN OR OUT",IF(OR(NOT(ISNUMBER(E201)),E201&lt;=0),"POSITIVE QTY NEEDED","OK"))))))</f>
        <v/>
      </c>
      <c r="I201" s="1"/>
      <c r="J201" s="1"/>
      <c r="K201" s="1"/>
    </row>
    <row r="202" spans="1:11" ht="24" customHeight="1">
      <c r="A202" s="7"/>
      <c r="B202" s="4"/>
      <c r="C202" s="1" t="str">
        <f>IF(B202="","",IF(COUNTIFS(Inventory!$A$12:$A$61,B202)=1,VLOOKUP(B202,Inventory!$A$12:$B$61,2,FALSE),"CHECK ITEM CODE"))</f>
        <v/>
      </c>
      <c r="D202" s="4"/>
      <c r="E202" s="8"/>
      <c r="F202" s="4"/>
      <c r="G202" s="4"/>
      <c r="H202" s="1" t="str">
        <f>IF(COUNTA(A202:B202,D202:G202)=0,"",IF(OR(A202="",B202="",D202="",E202=""),"COMPLETE ENTRY",IF(COUNTIFS(Inventory!$A$12:$A$61,B202)&lt;&gt;1,"CHECK ITEM CODE",IF(OR(NOT(ISNUMBER(A202)),A202&lt;=0),"CHECK DATE",IF(AND(D202&lt;&gt;"IN",D202&lt;&gt;"OUT"),"USE IN OR OUT",IF(OR(NOT(ISNUMBER(E202)),E202&lt;=0),"POSITIVE QTY NEEDED","OK"))))))</f>
        <v/>
      </c>
      <c r="I202" s="1"/>
      <c r="J202" s="1"/>
      <c r="K202" s="1"/>
    </row>
    <row r="203" spans="1:11" ht="24" customHeight="1">
      <c r="A203" s="7"/>
      <c r="B203" s="4"/>
      <c r="C203" s="1" t="str">
        <f>IF(B203="","",IF(COUNTIFS(Inventory!$A$12:$A$61,B203)=1,VLOOKUP(B203,Inventory!$A$12:$B$61,2,FALSE),"CHECK ITEM CODE"))</f>
        <v/>
      </c>
      <c r="D203" s="4"/>
      <c r="E203" s="8"/>
      <c r="F203" s="4"/>
      <c r="G203" s="4"/>
      <c r="H203" s="1" t="str">
        <f>IF(COUNTA(A203:B203,D203:G203)=0,"",IF(OR(A203="",B203="",D203="",E203=""),"COMPLETE ENTRY",IF(COUNTIFS(Inventory!$A$12:$A$61,B203)&lt;&gt;1,"CHECK ITEM CODE",IF(OR(NOT(ISNUMBER(A203)),A203&lt;=0),"CHECK DATE",IF(AND(D203&lt;&gt;"IN",D203&lt;&gt;"OUT"),"USE IN OR OUT",IF(OR(NOT(ISNUMBER(E203)),E203&lt;=0),"POSITIVE QTY NEEDED","OK"))))))</f>
        <v/>
      </c>
      <c r="I203" s="1"/>
      <c r="J203" s="1"/>
      <c r="K203" s="1"/>
    </row>
    <row r="204" spans="1:11" ht="24" customHeight="1">
      <c r="A204" s="7"/>
      <c r="B204" s="4"/>
      <c r="C204" s="1" t="str">
        <f>IF(B204="","",IF(COUNTIFS(Inventory!$A$12:$A$61,B204)=1,VLOOKUP(B204,Inventory!$A$12:$B$61,2,FALSE),"CHECK ITEM CODE"))</f>
        <v/>
      </c>
      <c r="D204" s="4"/>
      <c r="E204" s="8"/>
      <c r="F204" s="4"/>
      <c r="G204" s="4"/>
      <c r="H204" s="1" t="str">
        <f>IF(COUNTA(A204:B204,D204:G204)=0,"",IF(OR(A204="",B204="",D204="",E204=""),"COMPLETE ENTRY",IF(COUNTIFS(Inventory!$A$12:$A$61,B204)&lt;&gt;1,"CHECK ITEM CODE",IF(OR(NOT(ISNUMBER(A204)),A204&lt;=0),"CHECK DATE",IF(AND(D204&lt;&gt;"IN",D204&lt;&gt;"OUT"),"USE IN OR OUT",IF(OR(NOT(ISNUMBER(E204)),E204&lt;=0),"POSITIVE QTY NEEDED","OK"))))))</f>
        <v/>
      </c>
      <c r="I204" s="1"/>
      <c r="J204" s="1"/>
      <c r="K204" s="1"/>
    </row>
    <row r="205" spans="1:11" ht="24" customHeight="1">
      <c r="A205" s="7"/>
      <c r="B205" s="4"/>
      <c r="C205" s="1" t="str">
        <f>IF(B205="","",IF(COUNTIFS(Inventory!$A$12:$A$61,B205)=1,VLOOKUP(B205,Inventory!$A$12:$B$61,2,FALSE),"CHECK ITEM CODE"))</f>
        <v/>
      </c>
      <c r="D205" s="4"/>
      <c r="E205" s="8"/>
      <c r="F205" s="4"/>
      <c r="G205" s="4"/>
      <c r="H205" s="1" t="str">
        <f>IF(COUNTA(A205:B205,D205:G205)=0,"",IF(OR(A205="",B205="",D205="",E205=""),"COMPLETE ENTRY",IF(COUNTIFS(Inventory!$A$12:$A$61,B205)&lt;&gt;1,"CHECK ITEM CODE",IF(OR(NOT(ISNUMBER(A205)),A205&lt;=0),"CHECK DATE",IF(AND(D205&lt;&gt;"IN",D205&lt;&gt;"OUT"),"USE IN OR OUT",IF(OR(NOT(ISNUMBER(E205)),E205&lt;=0),"POSITIVE QTY NEEDED","OK"))))))</f>
        <v/>
      </c>
      <c r="I205" s="1"/>
      <c r="J205" s="1"/>
      <c r="K205" s="1"/>
    </row>
    <row r="206" spans="1:11" ht="24" customHeight="1">
      <c r="A206" s="7"/>
      <c r="B206" s="4"/>
      <c r="C206" s="1" t="str">
        <f>IF(B206="","",IF(COUNTIFS(Inventory!$A$12:$A$61,B206)=1,VLOOKUP(B206,Inventory!$A$12:$B$61,2,FALSE),"CHECK ITEM CODE"))</f>
        <v/>
      </c>
      <c r="D206" s="4"/>
      <c r="E206" s="8"/>
      <c r="F206" s="4"/>
      <c r="G206" s="4"/>
      <c r="H206" s="1" t="str">
        <f>IF(COUNTA(A206:B206,D206:G206)=0,"",IF(OR(A206="",B206="",D206="",E206=""),"COMPLETE ENTRY",IF(COUNTIFS(Inventory!$A$12:$A$61,B206)&lt;&gt;1,"CHECK ITEM CODE",IF(OR(NOT(ISNUMBER(A206)),A206&lt;=0),"CHECK DATE",IF(AND(D206&lt;&gt;"IN",D206&lt;&gt;"OUT"),"USE IN OR OUT",IF(OR(NOT(ISNUMBER(E206)),E206&lt;=0),"POSITIVE QTY NEEDED","OK"))))))</f>
        <v/>
      </c>
      <c r="I206" s="1"/>
      <c r="J206" s="1"/>
      <c r="K206" s="1"/>
    </row>
    <row r="207" spans="1:11" ht="24" customHeight="1">
      <c r="A207" s="7"/>
      <c r="B207" s="4"/>
      <c r="C207" s="1" t="str">
        <f>IF(B207="","",IF(COUNTIFS(Inventory!$A$12:$A$61,B207)=1,VLOOKUP(B207,Inventory!$A$12:$B$61,2,FALSE),"CHECK ITEM CODE"))</f>
        <v/>
      </c>
      <c r="D207" s="4"/>
      <c r="E207" s="8"/>
      <c r="F207" s="4"/>
      <c r="G207" s="4"/>
      <c r="H207" s="1" t="str">
        <f>IF(COUNTA(A207:B207,D207:G207)=0,"",IF(OR(A207="",B207="",D207="",E207=""),"COMPLETE ENTRY",IF(COUNTIFS(Inventory!$A$12:$A$61,B207)&lt;&gt;1,"CHECK ITEM CODE",IF(OR(NOT(ISNUMBER(A207)),A207&lt;=0),"CHECK DATE",IF(AND(D207&lt;&gt;"IN",D207&lt;&gt;"OUT"),"USE IN OR OUT",IF(OR(NOT(ISNUMBER(E207)),E207&lt;=0),"POSITIVE QTY NEEDED","OK"))))))</f>
        <v/>
      </c>
      <c r="I207" s="1"/>
      <c r="J207" s="1"/>
      <c r="K207" s="1"/>
    </row>
    <row r="208" spans="1:11" ht="24" customHeight="1">
      <c r="A208" s="7"/>
      <c r="B208" s="4"/>
      <c r="C208" s="1" t="str">
        <f>IF(B208="","",IF(COUNTIFS(Inventory!$A$12:$A$61,B208)=1,VLOOKUP(B208,Inventory!$A$12:$B$61,2,FALSE),"CHECK ITEM CODE"))</f>
        <v/>
      </c>
      <c r="D208" s="4"/>
      <c r="E208" s="8"/>
      <c r="F208" s="4"/>
      <c r="G208" s="4"/>
      <c r="H208" s="1" t="str">
        <f>IF(COUNTA(A208:B208,D208:G208)=0,"",IF(OR(A208="",B208="",D208="",E208=""),"COMPLETE ENTRY",IF(COUNTIFS(Inventory!$A$12:$A$61,B208)&lt;&gt;1,"CHECK ITEM CODE",IF(OR(NOT(ISNUMBER(A208)),A208&lt;=0),"CHECK DATE",IF(AND(D208&lt;&gt;"IN",D208&lt;&gt;"OUT"),"USE IN OR OUT",IF(OR(NOT(ISNUMBER(E208)),E208&lt;=0),"POSITIVE QTY NEEDED","OK"))))))</f>
        <v/>
      </c>
      <c r="I208" s="1"/>
      <c r="J208" s="1"/>
      <c r="K208" s="1"/>
    </row>
    <row r="209" spans="1:11" ht="24" customHeight="1">
      <c r="A209" s="7"/>
      <c r="B209" s="4"/>
      <c r="C209" s="1" t="str">
        <f>IF(B209="","",IF(COUNTIFS(Inventory!$A$12:$A$61,B209)=1,VLOOKUP(B209,Inventory!$A$12:$B$61,2,FALSE),"CHECK ITEM CODE"))</f>
        <v/>
      </c>
      <c r="D209" s="4"/>
      <c r="E209" s="8"/>
      <c r="F209" s="4"/>
      <c r="G209" s="4"/>
      <c r="H209" s="1" t="str">
        <f>IF(COUNTA(A209:B209,D209:G209)=0,"",IF(OR(A209="",B209="",D209="",E209=""),"COMPLETE ENTRY",IF(COUNTIFS(Inventory!$A$12:$A$61,B209)&lt;&gt;1,"CHECK ITEM CODE",IF(OR(NOT(ISNUMBER(A209)),A209&lt;=0),"CHECK DATE",IF(AND(D209&lt;&gt;"IN",D209&lt;&gt;"OUT"),"USE IN OR OUT",IF(OR(NOT(ISNUMBER(E209)),E209&lt;=0),"POSITIVE QTY NEEDED","OK"))))))</f>
        <v/>
      </c>
      <c r="I209" s="1"/>
      <c r="J209" s="1"/>
      <c r="K209" s="1"/>
    </row>
    <row r="210" spans="1:11" ht="24" customHeight="1">
      <c r="A210" s="7"/>
      <c r="B210" s="4"/>
      <c r="C210" s="1" t="str">
        <f>IF(B210="","",IF(COUNTIFS(Inventory!$A$12:$A$61,B210)=1,VLOOKUP(B210,Inventory!$A$12:$B$61,2,FALSE),"CHECK ITEM CODE"))</f>
        <v/>
      </c>
      <c r="D210" s="4"/>
      <c r="E210" s="8"/>
      <c r="F210" s="4"/>
      <c r="G210" s="4"/>
      <c r="H210" s="1" t="str">
        <f>IF(COUNTA(A210:B210,D210:G210)=0,"",IF(OR(A210="",B210="",D210="",E210=""),"COMPLETE ENTRY",IF(COUNTIFS(Inventory!$A$12:$A$61,B210)&lt;&gt;1,"CHECK ITEM CODE",IF(OR(NOT(ISNUMBER(A210)),A210&lt;=0),"CHECK DATE",IF(AND(D210&lt;&gt;"IN",D210&lt;&gt;"OUT"),"USE IN OR OUT",IF(OR(NOT(ISNUMBER(E210)),E210&lt;=0),"POSITIVE QTY NEEDED","OK"))))))</f>
        <v/>
      </c>
      <c r="I210" s="1"/>
      <c r="J210" s="1"/>
      <c r="K210" s="1"/>
    </row>
    <row r="211" spans="1:11" ht="24" customHeight="1">
      <c r="A211" s="7"/>
      <c r="B211" s="4"/>
      <c r="C211" s="1" t="str">
        <f>IF(B211="","",IF(COUNTIFS(Inventory!$A$12:$A$61,B211)=1,VLOOKUP(B211,Inventory!$A$12:$B$61,2,FALSE),"CHECK ITEM CODE"))</f>
        <v/>
      </c>
      <c r="D211" s="4"/>
      <c r="E211" s="8"/>
      <c r="F211" s="4"/>
      <c r="G211" s="4"/>
      <c r="H211" s="1" t="str">
        <f>IF(COUNTA(A211:B211,D211:G211)=0,"",IF(OR(A211="",B211="",D211="",E211=""),"COMPLETE ENTRY",IF(COUNTIFS(Inventory!$A$12:$A$61,B211)&lt;&gt;1,"CHECK ITEM CODE",IF(OR(NOT(ISNUMBER(A211)),A211&lt;=0),"CHECK DATE",IF(AND(D211&lt;&gt;"IN",D211&lt;&gt;"OUT"),"USE IN OR OUT",IF(OR(NOT(ISNUMBER(E211)),E211&lt;=0),"POSITIVE QTY NEEDED","OK"))))))</f>
        <v/>
      </c>
      <c r="I211" s="1"/>
      <c r="J211" s="1"/>
      <c r="K211" s="1"/>
    </row>
    <row r="212" spans="1:11" ht="24" customHeight="1">
      <c r="A212" s="7"/>
      <c r="B212" s="4"/>
      <c r="C212" s="1" t="str">
        <f>IF(B212="","",IF(COUNTIFS(Inventory!$A$12:$A$61,B212)=1,VLOOKUP(B212,Inventory!$A$12:$B$61,2,FALSE),"CHECK ITEM CODE"))</f>
        <v/>
      </c>
      <c r="D212" s="4"/>
      <c r="E212" s="8"/>
      <c r="F212" s="4"/>
      <c r="G212" s="4"/>
      <c r="H212" s="1" t="str">
        <f>IF(COUNTA(A212:B212,D212:G212)=0,"",IF(OR(A212="",B212="",D212="",E212=""),"COMPLETE ENTRY",IF(COUNTIFS(Inventory!$A$12:$A$61,B212)&lt;&gt;1,"CHECK ITEM CODE",IF(OR(NOT(ISNUMBER(A212)),A212&lt;=0),"CHECK DATE",IF(AND(D212&lt;&gt;"IN",D212&lt;&gt;"OUT"),"USE IN OR OUT",IF(OR(NOT(ISNUMBER(E212)),E212&lt;=0),"POSITIVE QTY NEEDED","OK"))))))</f>
        <v/>
      </c>
      <c r="I212" s="1"/>
      <c r="J212" s="1"/>
      <c r="K212" s="1"/>
    </row>
    <row r="213" spans="1:11" ht="24" customHeight="1">
      <c r="A213" s="7"/>
      <c r="B213" s="4"/>
      <c r="C213" s="1" t="str">
        <f>IF(B213="","",IF(COUNTIFS(Inventory!$A$12:$A$61,B213)=1,VLOOKUP(B213,Inventory!$A$12:$B$61,2,FALSE),"CHECK ITEM CODE"))</f>
        <v/>
      </c>
      <c r="D213" s="4"/>
      <c r="E213" s="8"/>
      <c r="F213" s="4"/>
      <c r="G213" s="4"/>
      <c r="H213" s="1" t="str">
        <f>IF(COUNTA(A213:B213,D213:G213)=0,"",IF(OR(A213="",B213="",D213="",E213=""),"COMPLETE ENTRY",IF(COUNTIFS(Inventory!$A$12:$A$61,B213)&lt;&gt;1,"CHECK ITEM CODE",IF(OR(NOT(ISNUMBER(A213)),A213&lt;=0),"CHECK DATE",IF(AND(D213&lt;&gt;"IN",D213&lt;&gt;"OUT"),"USE IN OR OUT",IF(OR(NOT(ISNUMBER(E213)),E213&lt;=0),"POSITIVE QTY NEEDED","OK"))))))</f>
        <v/>
      </c>
      <c r="I213" s="1"/>
      <c r="J213" s="1"/>
      <c r="K213" s="1"/>
    </row>
    <row r="214" spans="1:11" ht="24" customHeight="1">
      <c r="A214" s="7"/>
      <c r="B214" s="4"/>
      <c r="C214" s="1" t="str">
        <f>IF(B214="","",IF(COUNTIFS(Inventory!$A$12:$A$61,B214)=1,VLOOKUP(B214,Inventory!$A$12:$B$61,2,FALSE),"CHECK ITEM CODE"))</f>
        <v/>
      </c>
      <c r="D214" s="4"/>
      <c r="E214" s="8"/>
      <c r="F214" s="4"/>
      <c r="G214" s="4"/>
      <c r="H214" s="1" t="str">
        <f>IF(COUNTA(A214:B214,D214:G214)=0,"",IF(OR(A214="",B214="",D214="",E214=""),"COMPLETE ENTRY",IF(COUNTIFS(Inventory!$A$12:$A$61,B214)&lt;&gt;1,"CHECK ITEM CODE",IF(OR(NOT(ISNUMBER(A214)),A214&lt;=0),"CHECK DATE",IF(AND(D214&lt;&gt;"IN",D214&lt;&gt;"OUT"),"USE IN OR OUT",IF(OR(NOT(ISNUMBER(E214)),E214&lt;=0),"POSITIVE QTY NEEDED","OK"))))))</f>
        <v/>
      </c>
      <c r="I214" s="1"/>
      <c r="J214" s="1"/>
      <c r="K214" s="1"/>
    </row>
    <row r="215" spans="1:11" ht="24" customHeight="1">
      <c r="A215" s="7"/>
      <c r="B215" s="4"/>
      <c r="C215" s="1" t="str">
        <f>IF(B215="","",IF(COUNTIFS(Inventory!$A$12:$A$61,B215)=1,VLOOKUP(B215,Inventory!$A$12:$B$61,2,FALSE),"CHECK ITEM CODE"))</f>
        <v/>
      </c>
      <c r="D215" s="4"/>
      <c r="E215" s="8"/>
      <c r="F215" s="4"/>
      <c r="G215" s="4"/>
      <c r="H215" s="1" t="str">
        <f>IF(COUNTA(A215:B215,D215:G215)=0,"",IF(OR(A215="",B215="",D215="",E215=""),"COMPLETE ENTRY",IF(COUNTIFS(Inventory!$A$12:$A$61,B215)&lt;&gt;1,"CHECK ITEM CODE",IF(OR(NOT(ISNUMBER(A215)),A215&lt;=0),"CHECK DATE",IF(AND(D215&lt;&gt;"IN",D215&lt;&gt;"OUT"),"USE IN OR OUT",IF(OR(NOT(ISNUMBER(E215)),E215&lt;=0),"POSITIVE QTY NEEDED","OK"))))))</f>
        <v/>
      </c>
      <c r="I215" s="1"/>
      <c r="J215" s="1"/>
      <c r="K215" s="1"/>
    </row>
    <row r="216" spans="1:11" ht="24" customHeight="1">
      <c r="A216" s="7"/>
      <c r="B216" s="4"/>
      <c r="C216" s="1" t="str">
        <f>IF(B216="","",IF(COUNTIFS(Inventory!$A$12:$A$61,B216)=1,VLOOKUP(B216,Inventory!$A$12:$B$61,2,FALSE),"CHECK ITEM CODE"))</f>
        <v/>
      </c>
      <c r="D216" s="4"/>
      <c r="E216" s="8"/>
      <c r="F216" s="4"/>
      <c r="G216" s="4"/>
      <c r="H216" s="1" t="str">
        <f>IF(COUNTA(A216:B216,D216:G216)=0,"",IF(OR(A216="",B216="",D216="",E216=""),"COMPLETE ENTRY",IF(COUNTIFS(Inventory!$A$12:$A$61,B216)&lt;&gt;1,"CHECK ITEM CODE",IF(OR(NOT(ISNUMBER(A216)),A216&lt;=0),"CHECK DATE",IF(AND(D216&lt;&gt;"IN",D216&lt;&gt;"OUT"),"USE IN OR OUT",IF(OR(NOT(ISNUMBER(E216)),E216&lt;=0),"POSITIVE QTY NEEDED","OK"))))))</f>
        <v/>
      </c>
      <c r="I216" s="1"/>
      <c r="J216" s="1"/>
      <c r="K216" s="1"/>
    </row>
    <row r="217" spans="1:11" ht="24" customHeight="1">
      <c r="A217" s="7"/>
      <c r="B217" s="4"/>
      <c r="C217" s="1" t="str">
        <f>IF(B217="","",IF(COUNTIFS(Inventory!$A$12:$A$61,B217)=1,VLOOKUP(B217,Inventory!$A$12:$B$61,2,FALSE),"CHECK ITEM CODE"))</f>
        <v/>
      </c>
      <c r="D217" s="4"/>
      <c r="E217" s="8"/>
      <c r="F217" s="4"/>
      <c r="G217" s="4"/>
      <c r="H217" s="1" t="str">
        <f>IF(COUNTA(A217:B217,D217:G217)=0,"",IF(OR(A217="",B217="",D217="",E217=""),"COMPLETE ENTRY",IF(COUNTIFS(Inventory!$A$12:$A$61,B217)&lt;&gt;1,"CHECK ITEM CODE",IF(OR(NOT(ISNUMBER(A217)),A217&lt;=0),"CHECK DATE",IF(AND(D217&lt;&gt;"IN",D217&lt;&gt;"OUT"),"USE IN OR OUT",IF(OR(NOT(ISNUMBER(E217)),E217&lt;=0),"POSITIVE QTY NEEDED","OK"))))))</f>
        <v/>
      </c>
      <c r="I217" s="1"/>
      <c r="J217" s="1"/>
      <c r="K217" s="1"/>
    </row>
    <row r="218" spans="1:11" ht="24" customHeight="1">
      <c r="A218" s="7"/>
      <c r="B218" s="4"/>
      <c r="C218" s="1" t="str">
        <f>IF(B218="","",IF(COUNTIFS(Inventory!$A$12:$A$61,B218)=1,VLOOKUP(B218,Inventory!$A$12:$B$61,2,FALSE),"CHECK ITEM CODE"))</f>
        <v/>
      </c>
      <c r="D218" s="4"/>
      <c r="E218" s="8"/>
      <c r="F218" s="4"/>
      <c r="G218" s="4"/>
      <c r="H218" s="1" t="str">
        <f>IF(COUNTA(A218:B218,D218:G218)=0,"",IF(OR(A218="",B218="",D218="",E218=""),"COMPLETE ENTRY",IF(COUNTIFS(Inventory!$A$12:$A$61,B218)&lt;&gt;1,"CHECK ITEM CODE",IF(OR(NOT(ISNUMBER(A218)),A218&lt;=0),"CHECK DATE",IF(AND(D218&lt;&gt;"IN",D218&lt;&gt;"OUT"),"USE IN OR OUT",IF(OR(NOT(ISNUMBER(E218)),E218&lt;=0),"POSITIVE QTY NEEDED","OK"))))))</f>
        <v/>
      </c>
      <c r="I218" s="1"/>
      <c r="J218" s="1"/>
      <c r="K218" s="1"/>
    </row>
    <row r="219" spans="1:11" ht="24" customHeight="1">
      <c r="A219" s="7"/>
      <c r="B219" s="4"/>
      <c r="C219" s="1" t="str">
        <f>IF(B219="","",IF(COUNTIFS(Inventory!$A$12:$A$61,B219)=1,VLOOKUP(B219,Inventory!$A$12:$B$61,2,FALSE),"CHECK ITEM CODE"))</f>
        <v/>
      </c>
      <c r="D219" s="4"/>
      <c r="E219" s="8"/>
      <c r="F219" s="4"/>
      <c r="G219" s="4"/>
      <c r="H219" s="1" t="str">
        <f>IF(COUNTA(A219:B219,D219:G219)=0,"",IF(OR(A219="",B219="",D219="",E219=""),"COMPLETE ENTRY",IF(COUNTIFS(Inventory!$A$12:$A$61,B219)&lt;&gt;1,"CHECK ITEM CODE",IF(OR(NOT(ISNUMBER(A219)),A219&lt;=0),"CHECK DATE",IF(AND(D219&lt;&gt;"IN",D219&lt;&gt;"OUT"),"USE IN OR OUT",IF(OR(NOT(ISNUMBER(E219)),E219&lt;=0),"POSITIVE QTY NEEDED","OK"))))))</f>
        <v/>
      </c>
      <c r="I219" s="1"/>
      <c r="J219" s="1"/>
      <c r="K219" s="1"/>
    </row>
    <row r="220" spans="1:11" ht="24" customHeight="1">
      <c r="A220" s="7"/>
      <c r="B220" s="4"/>
      <c r="C220" s="1" t="str">
        <f>IF(B220="","",IF(COUNTIFS(Inventory!$A$12:$A$61,B220)=1,VLOOKUP(B220,Inventory!$A$12:$B$61,2,FALSE),"CHECK ITEM CODE"))</f>
        <v/>
      </c>
      <c r="D220" s="4"/>
      <c r="E220" s="8"/>
      <c r="F220" s="4"/>
      <c r="G220" s="4"/>
      <c r="H220" s="1" t="str">
        <f>IF(COUNTA(A220:B220,D220:G220)=0,"",IF(OR(A220="",B220="",D220="",E220=""),"COMPLETE ENTRY",IF(COUNTIFS(Inventory!$A$12:$A$61,B220)&lt;&gt;1,"CHECK ITEM CODE",IF(OR(NOT(ISNUMBER(A220)),A220&lt;=0),"CHECK DATE",IF(AND(D220&lt;&gt;"IN",D220&lt;&gt;"OUT"),"USE IN OR OUT",IF(OR(NOT(ISNUMBER(E220)),E220&lt;=0),"POSITIVE QTY NEEDED","OK"))))))</f>
        <v/>
      </c>
      <c r="I220" s="1"/>
      <c r="J220" s="1"/>
      <c r="K220" s="1"/>
    </row>
    <row r="221" spans="1:11" ht="24" customHeight="1">
      <c r="A221" s="7"/>
      <c r="B221" s="4"/>
      <c r="C221" s="1" t="str">
        <f>IF(B221="","",IF(COUNTIFS(Inventory!$A$12:$A$61,B221)=1,VLOOKUP(B221,Inventory!$A$12:$B$61,2,FALSE),"CHECK ITEM CODE"))</f>
        <v/>
      </c>
      <c r="D221" s="4"/>
      <c r="E221" s="8"/>
      <c r="F221" s="4"/>
      <c r="G221" s="4"/>
      <c r="H221" s="1" t="str">
        <f>IF(COUNTA(A221:B221,D221:G221)=0,"",IF(OR(A221="",B221="",D221="",E221=""),"COMPLETE ENTRY",IF(COUNTIFS(Inventory!$A$12:$A$61,B221)&lt;&gt;1,"CHECK ITEM CODE",IF(OR(NOT(ISNUMBER(A221)),A221&lt;=0),"CHECK DATE",IF(AND(D221&lt;&gt;"IN",D221&lt;&gt;"OUT"),"USE IN OR OUT",IF(OR(NOT(ISNUMBER(E221)),E221&lt;=0),"POSITIVE QTY NEEDED","OK"))))))</f>
        <v/>
      </c>
      <c r="I221" s="1"/>
      <c r="J221" s="1"/>
      <c r="K221" s="1"/>
    </row>
    <row r="222" spans="1:11" ht="24" customHeight="1">
      <c r="A222" s="7"/>
      <c r="B222" s="4"/>
      <c r="C222" s="1" t="str">
        <f>IF(B222="","",IF(COUNTIFS(Inventory!$A$12:$A$61,B222)=1,VLOOKUP(B222,Inventory!$A$12:$B$61,2,FALSE),"CHECK ITEM CODE"))</f>
        <v/>
      </c>
      <c r="D222" s="4"/>
      <c r="E222" s="8"/>
      <c r="F222" s="4"/>
      <c r="G222" s="4"/>
      <c r="H222" s="1" t="str">
        <f>IF(COUNTA(A222:B222,D222:G222)=0,"",IF(OR(A222="",B222="",D222="",E222=""),"COMPLETE ENTRY",IF(COUNTIFS(Inventory!$A$12:$A$61,B222)&lt;&gt;1,"CHECK ITEM CODE",IF(OR(NOT(ISNUMBER(A222)),A222&lt;=0),"CHECK DATE",IF(AND(D222&lt;&gt;"IN",D222&lt;&gt;"OUT"),"USE IN OR OUT",IF(OR(NOT(ISNUMBER(E222)),E222&lt;=0),"POSITIVE QTY NEEDED","OK"))))))</f>
        <v/>
      </c>
      <c r="I222" s="1"/>
      <c r="J222" s="1"/>
      <c r="K222" s="1"/>
    </row>
    <row r="223" spans="1:11" ht="24" customHeight="1">
      <c r="A223" s="7"/>
      <c r="B223" s="4"/>
      <c r="C223" s="1" t="str">
        <f>IF(B223="","",IF(COUNTIFS(Inventory!$A$12:$A$61,B223)=1,VLOOKUP(B223,Inventory!$A$12:$B$61,2,FALSE),"CHECK ITEM CODE"))</f>
        <v/>
      </c>
      <c r="D223" s="4"/>
      <c r="E223" s="8"/>
      <c r="F223" s="4"/>
      <c r="G223" s="4"/>
      <c r="H223" s="1" t="str">
        <f>IF(COUNTA(A223:B223,D223:G223)=0,"",IF(OR(A223="",B223="",D223="",E223=""),"COMPLETE ENTRY",IF(COUNTIFS(Inventory!$A$12:$A$61,B223)&lt;&gt;1,"CHECK ITEM CODE",IF(OR(NOT(ISNUMBER(A223)),A223&lt;=0),"CHECK DATE",IF(AND(D223&lt;&gt;"IN",D223&lt;&gt;"OUT"),"USE IN OR OUT",IF(OR(NOT(ISNUMBER(E223)),E223&lt;=0),"POSITIVE QTY NEEDED","OK"))))))</f>
        <v/>
      </c>
      <c r="I223" s="1"/>
      <c r="J223" s="1"/>
      <c r="K223" s="1"/>
    </row>
    <row r="224" spans="1:11" ht="24" customHeight="1">
      <c r="A224" s="7"/>
      <c r="B224" s="4"/>
      <c r="C224" s="1" t="str">
        <f>IF(B224="","",IF(COUNTIFS(Inventory!$A$12:$A$61,B224)=1,VLOOKUP(B224,Inventory!$A$12:$B$61,2,FALSE),"CHECK ITEM CODE"))</f>
        <v/>
      </c>
      <c r="D224" s="4"/>
      <c r="E224" s="8"/>
      <c r="F224" s="4"/>
      <c r="G224" s="4"/>
      <c r="H224" s="1" t="str">
        <f>IF(COUNTA(A224:B224,D224:G224)=0,"",IF(OR(A224="",B224="",D224="",E224=""),"COMPLETE ENTRY",IF(COUNTIFS(Inventory!$A$12:$A$61,B224)&lt;&gt;1,"CHECK ITEM CODE",IF(OR(NOT(ISNUMBER(A224)),A224&lt;=0),"CHECK DATE",IF(AND(D224&lt;&gt;"IN",D224&lt;&gt;"OUT"),"USE IN OR OUT",IF(OR(NOT(ISNUMBER(E224)),E224&lt;=0),"POSITIVE QTY NEEDED","OK"))))))</f>
        <v/>
      </c>
      <c r="I224" s="1"/>
      <c r="J224" s="1"/>
      <c r="K224" s="1"/>
    </row>
    <row r="225" spans="1:11" ht="24" customHeight="1">
      <c r="A225" s="7"/>
      <c r="B225" s="4"/>
      <c r="C225" s="1" t="str">
        <f>IF(B225="","",IF(COUNTIFS(Inventory!$A$12:$A$61,B225)=1,VLOOKUP(B225,Inventory!$A$12:$B$61,2,FALSE),"CHECK ITEM CODE"))</f>
        <v/>
      </c>
      <c r="D225" s="4"/>
      <c r="E225" s="8"/>
      <c r="F225" s="4"/>
      <c r="G225" s="4"/>
      <c r="H225" s="1" t="str">
        <f>IF(COUNTA(A225:B225,D225:G225)=0,"",IF(OR(A225="",B225="",D225="",E225=""),"COMPLETE ENTRY",IF(COUNTIFS(Inventory!$A$12:$A$61,B225)&lt;&gt;1,"CHECK ITEM CODE",IF(OR(NOT(ISNUMBER(A225)),A225&lt;=0),"CHECK DATE",IF(AND(D225&lt;&gt;"IN",D225&lt;&gt;"OUT"),"USE IN OR OUT",IF(OR(NOT(ISNUMBER(E225)),E225&lt;=0),"POSITIVE QTY NEEDED","OK"))))))</f>
        <v/>
      </c>
      <c r="I225" s="1"/>
      <c r="J225" s="1"/>
      <c r="K225" s="1"/>
    </row>
    <row r="226" spans="1:11" ht="24" customHeight="1">
      <c r="A226" s="7"/>
      <c r="B226" s="4"/>
      <c r="C226" s="1" t="str">
        <f>IF(B226="","",IF(COUNTIFS(Inventory!$A$12:$A$61,B226)=1,VLOOKUP(B226,Inventory!$A$12:$B$61,2,FALSE),"CHECK ITEM CODE"))</f>
        <v/>
      </c>
      <c r="D226" s="4"/>
      <c r="E226" s="8"/>
      <c r="F226" s="4"/>
      <c r="G226" s="4"/>
      <c r="H226" s="1" t="str">
        <f>IF(COUNTA(A226:B226,D226:G226)=0,"",IF(OR(A226="",B226="",D226="",E226=""),"COMPLETE ENTRY",IF(COUNTIFS(Inventory!$A$12:$A$61,B226)&lt;&gt;1,"CHECK ITEM CODE",IF(OR(NOT(ISNUMBER(A226)),A226&lt;=0),"CHECK DATE",IF(AND(D226&lt;&gt;"IN",D226&lt;&gt;"OUT"),"USE IN OR OUT",IF(OR(NOT(ISNUMBER(E226)),E226&lt;=0),"POSITIVE QTY NEEDED","OK"))))))</f>
        <v/>
      </c>
      <c r="I226" s="1"/>
      <c r="J226" s="1"/>
      <c r="K226" s="1"/>
    </row>
    <row r="227" spans="1:11" ht="24" customHeight="1">
      <c r="A227" s="7"/>
      <c r="B227" s="4"/>
      <c r="C227" s="1" t="str">
        <f>IF(B227="","",IF(COUNTIFS(Inventory!$A$12:$A$61,B227)=1,VLOOKUP(B227,Inventory!$A$12:$B$61,2,FALSE),"CHECK ITEM CODE"))</f>
        <v/>
      </c>
      <c r="D227" s="4"/>
      <c r="E227" s="8"/>
      <c r="F227" s="4"/>
      <c r="G227" s="4"/>
      <c r="H227" s="1" t="str">
        <f>IF(COUNTA(A227:B227,D227:G227)=0,"",IF(OR(A227="",B227="",D227="",E227=""),"COMPLETE ENTRY",IF(COUNTIFS(Inventory!$A$12:$A$61,B227)&lt;&gt;1,"CHECK ITEM CODE",IF(OR(NOT(ISNUMBER(A227)),A227&lt;=0),"CHECK DATE",IF(AND(D227&lt;&gt;"IN",D227&lt;&gt;"OUT"),"USE IN OR OUT",IF(OR(NOT(ISNUMBER(E227)),E227&lt;=0),"POSITIVE QTY NEEDED","OK"))))))</f>
        <v/>
      </c>
      <c r="I227" s="1"/>
      <c r="J227" s="1"/>
      <c r="K227" s="1"/>
    </row>
    <row r="228" spans="1:11" ht="24" customHeight="1">
      <c r="A228" s="7"/>
      <c r="B228" s="4"/>
      <c r="C228" s="1" t="str">
        <f>IF(B228="","",IF(COUNTIFS(Inventory!$A$12:$A$61,B228)=1,VLOOKUP(B228,Inventory!$A$12:$B$61,2,FALSE),"CHECK ITEM CODE"))</f>
        <v/>
      </c>
      <c r="D228" s="4"/>
      <c r="E228" s="8"/>
      <c r="F228" s="4"/>
      <c r="G228" s="4"/>
      <c r="H228" s="1" t="str">
        <f>IF(COUNTA(A228:B228,D228:G228)=0,"",IF(OR(A228="",B228="",D228="",E228=""),"COMPLETE ENTRY",IF(COUNTIFS(Inventory!$A$12:$A$61,B228)&lt;&gt;1,"CHECK ITEM CODE",IF(OR(NOT(ISNUMBER(A228)),A228&lt;=0),"CHECK DATE",IF(AND(D228&lt;&gt;"IN",D228&lt;&gt;"OUT"),"USE IN OR OUT",IF(OR(NOT(ISNUMBER(E228)),E228&lt;=0),"POSITIVE QTY NEEDED","OK"))))))</f>
        <v/>
      </c>
      <c r="I228" s="1"/>
      <c r="J228" s="1"/>
      <c r="K228" s="1"/>
    </row>
    <row r="229" spans="1:11" ht="24" customHeight="1">
      <c r="A229" s="7"/>
      <c r="B229" s="4"/>
      <c r="C229" s="1" t="str">
        <f>IF(B229="","",IF(COUNTIFS(Inventory!$A$12:$A$61,B229)=1,VLOOKUP(B229,Inventory!$A$12:$B$61,2,FALSE),"CHECK ITEM CODE"))</f>
        <v/>
      </c>
      <c r="D229" s="4"/>
      <c r="E229" s="8"/>
      <c r="F229" s="4"/>
      <c r="G229" s="4"/>
      <c r="H229" s="1" t="str">
        <f>IF(COUNTA(A229:B229,D229:G229)=0,"",IF(OR(A229="",B229="",D229="",E229=""),"COMPLETE ENTRY",IF(COUNTIFS(Inventory!$A$12:$A$61,B229)&lt;&gt;1,"CHECK ITEM CODE",IF(OR(NOT(ISNUMBER(A229)),A229&lt;=0),"CHECK DATE",IF(AND(D229&lt;&gt;"IN",D229&lt;&gt;"OUT"),"USE IN OR OUT",IF(OR(NOT(ISNUMBER(E229)),E229&lt;=0),"POSITIVE QTY NEEDED","OK"))))))</f>
        <v/>
      </c>
      <c r="I229" s="1"/>
      <c r="J229" s="1"/>
      <c r="K229" s="1"/>
    </row>
    <row r="230" spans="1:11" ht="24" customHeight="1">
      <c r="A230" s="7"/>
      <c r="B230" s="4"/>
      <c r="C230" s="1" t="str">
        <f>IF(B230="","",IF(COUNTIFS(Inventory!$A$12:$A$61,B230)=1,VLOOKUP(B230,Inventory!$A$12:$B$61,2,FALSE),"CHECK ITEM CODE"))</f>
        <v/>
      </c>
      <c r="D230" s="4"/>
      <c r="E230" s="8"/>
      <c r="F230" s="4"/>
      <c r="G230" s="4"/>
      <c r="H230" s="1" t="str">
        <f>IF(COUNTA(A230:B230,D230:G230)=0,"",IF(OR(A230="",B230="",D230="",E230=""),"COMPLETE ENTRY",IF(COUNTIFS(Inventory!$A$12:$A$61,B230)&lt;&gt;1,"CHECK ITEM CODE",IF(OR(NOT(ISNUMBER(A230)),A230&lt;=0),"CHECK DATE",IF(AND(D230&lt;&gt;"IN",D230&lt;&gt;"OUT"),"USE IN OR OUT",IF(OR(NOT(ISNUMBER(E230)),E230&lt;=0),"POSITIVE QTY NEEDED","OK"))))))</f>
        <v/>
      </c>
      <c r="I230" s="1"/>
      <c r="J230" s="1"/>
      <c r="K230" s="1"/>
    </row>
    <row r="231" spans="1:11" ht="24" customHeight="1">
      <c r="A231" s="7"/>
      <c r="B231" s="4"/>
      <c r="C231" s="1" t="str">
        <f>IF(B231="","",IF(COUNTIFS(Inventory!$A$12:$A$61,B231)=1,VLOOKUP(B231,Inventory!$A$12:$B$61,2,FALSE),"CHECK ITEM CODE"))</f>
        <v/>
      </c>
      <c r="D231" s="4"/>
      <c r="E231" s="8"/>
      <c r="F231" s="4"/>
      <c r="G231" s="4"/>
      <c r="H231" s="1" t="str">
        <f>IF(COUNTA(A231:B231,D231:G231)=0,"",IF(OR(A231="",B231="",D231="",E231=""),"COMPLETE ENTRY",IF(COUNTIFS(Inventory!$A$12:$A$61,B231)&lt;&gt;1,"CHECK ITEM CODE",IF(OR(NOT(ISNUMBER(A231)),A231&lt;=0),"CHECK DATE",IF(AND(D231&lt;&gt;"IN",D231&lt;&gt;"OUT"),"USE IN OR OUT",IF(OR(NOT(ISNUMBER(E231)),E231&lt;=0),"POSITIVE QTY NEEDED","OK"))))))</f>
        <v/>
      </c>
      <c r="I231" s="1"/>
      <c r="J231" s="1"/>
      <c r="K231" s="1"/>
    </row>
    <row r="232" spans="1:11" ht="24" customHeight="1">
      <c r="A232" s="7"/>
      <c r="B232" s="4"/>
      <c r="C232" s="1" t="str">
        <f>IF(B232="","",IF(COUNTIFS(Inventory!$A$12:$A$61,B232)=1,VLOOKUP(B232,Inventory!$A$12:$B$61,2,FALSE),"CHECK ITEM CODE"))</f>
        <v/>
      </c>
      <c r="D232" s="4"/>
      <c r="E232" s="8"/>
      <c r="F232" s="4"/>
      <c r="G232" s="4"/>
      <c r="H232" s="1" t="str">
        <f>IF(COUNTA(A232:B232,D232:G232)=0,"",IF(OR(A232="",B232="",D232="",E232=""),"COMPLETE ENTRY",IF(COUNTIFS(Inventory!$A$12:$A$61,B232)&lt;&gt;1,"CHECK ITEM CODE",IF(OR(NOT(ISNUMBER(A232)),A232&lt;=0),"CHECK DATE",IF(AND(D232&lt;&gt;"IN",D232&lt;&gt;"OUT"),"USE IN OR OUT",IF(OR(NOT(ISNUMBER(E232)),E232&lt;=0),"POSITIVE QTY NEEDED","OK"))))))</f>
        <v/>
      </c>
      <c r="I232" s="1"/>
      <c r="J232" s="1"/>
      <c r="K232" s="1"/>
    </row>
    <row r="233" spans="1:11" ht="24" customHeight="1">
      <c r="A233" s="7"/>
      <c r="B233" s="4"/>
      <c r="C233" s="1" t="str">
        <f>IF(B233="","",IF(COUNTIFS(Inventory!$A$12:$A$61,B233)=1,VLOOKUP(B233,Inventory!$A$12:$B$61,2,FALSE),"CHECK ITEM CODE"))</f>
        <v/>
      </c>
      <c r="D233" s="4"/>
      <c r="E233" s="8"/>
      <c r="F233" s="4"/>
      <c r="G233" s="4"/>
      <c r="H233" s="1" t="str">
        <f>IF(COUNTA(A233:B233,D233:G233)=0,"",IF(OR(A233="",B233="",D233="",E233=""),"COMPLETE ENTRY",IF(COUNTIFS(Inventory!$A$12:$A$61,B233)&lt;&gt;1,"CHECK ITEM CODE",IF(OR(NOT(ISNUMBER(A233)),A233&lt;=0),"CHECK DATE",IF(AND(D233&lt;&gt;"IN",D233&lt;&gt;"OUT"),"USE IN OR OUT",IF(OR(NOT(ISNUMBER(E233)),E233&lt;=0),"POSITIVE QTY NEEDED","OK"))))))</f>
        <v/>
      </c>
      <c r="I233" s="1"/>
      <c r="J233" s="1"/>
      <c r="K233" s="1"/>
    </row>
    <row r="234" spans="1:11" ht="24" customHeight="1">
      <c r="A234" s="7"/>
      <c r="B234" s="4"/>
      <c r="C234" s="1" t="str">
        <f>IF(B234="","",IF(COUNTIFS(Inventory!$A$12:$A$61,B234)=1,VLOOKUP(B234,Inventory!$A$12:$B$61,2,FALSE),"CHECK ITEM CODE"))</f>
        <v/>
      </c>
      <c r="D234" s="4"/>
      <c r="E234" s="8"/>
      <c r="F234" s="4"/>
      <c r="G234" s="4"/>
      <c r="H234" s="1" t="str">
        <f>IF(COUNTA(A234:B234,D234:G234)=0,"",IF(OR(A234="",B234="",D234="",E234=""),"COMPLETE ENTRY",IF(COUNTIFS(Inventory!$A$12:$A$61,B234)&lt;&gt;1,"CHECK ITEM CODE",IF(OR(NOT(ISNUMBER(A234)),A234&lt;=0),"CHECK DATE",IF(AND(D234&lt;&gt;"IN",D234&lt;&gt;"OUT"),"USE IN OR OUT",IF(OR(NOT(ISNUMBER(E234)),E234&lt;=0),"POSITIVE QTY NEEDED","OK"))))))</f>
        <v/>
      </c>
      <c r="I234" s="1"/>
      <c r="J234" s="1"/>
      <c r="K234" s="1"/>
    </row>
    <row r="235" spans="1:11" ht="24" customHeight="1">
      <c r="A235" s="7"/>
      <c r="B235" s="4"/>
      <c r="C235" s="1" t="str">
        <f>IF(B235="","",IF(COUNTIFS(Inventory!$A$12:$A$61,B235)=1,VLOOKUP(B235,Inventory!$A$12:$B$61,2,FALSE),"CHECK ITEM CODE"))</f>
        <v/>
      </c>
      <c r="D235" s="4"/>
      <c r="E235" s="8"/>
      <c r="F235" s="4"/>
      <c r="G235" s="4"/>
      <c r="H235" s="1" t="str">
        <f>IF(COUNTA(A235:B235,D235:G235)=0,"",IF(OR(A235="",B235="",D235="",E235=""),"COMPLETE ENTRY",IF(COUNTIFS(Inventory!$A$12:$A$61,B235)&lt;&gt;1,"CHECK ITEM CODE",IF(OR(NOT(ISNUMBER(A235)),A235&lt;=0),"CHECK DATE",IF(AND(D235&lt;&gt;"IN",D235&lt;&gt;"OUT"),"USE IN OR OUT",IF(OR(NOT(ISNUMBER(E235)),E235&lt;=0),"POSITIVE QTY NEEDED","OK"))))))</f>
        <v/>
      </c>
      <c r="I235" s="1"/>
      <c r="J235" s="1"/>
      <c r="K235" s="1"/>
    </row>
    <row r="236" spans="1:11" ht="24" customHeight="1">
      <c r="A236" s="7"/>
      <c r="B236" s="4"/>
      <c r="C236" s="1" t="str">
        <f>IF(B236="","",IF(COUNTIFS(Inventory!$A$12:$A$61,B236)=1,VLOOKUP(B236,Inventory!$A$12:$B$61,2,FALSE),"CHECK ITEM CODE"))</f>
        <v/>
      </c>
      <c r="D236" s="4"/>
      <c r="E236" s="8"/>
      <c r="F236" s="4"/>
      <c r="G236" s="4"/>
      <c r="H236" s="1" t="str">
        <f>IF(COUNTA(A236:B236,D236:G236)=0,"",IF(OR(A236="",B236="",D236="",E236=""),"COMPLETE ENTRY",IF(COUNTIFS(Inventory!$A$12:$A$61,B236)&lt;&gt;1,"CHECK ITEM CODE",IF(OR(NOT(ISNUMBER(A236)),A236&lt;=0),"CHECK DATE",IF(AND(D236&lt;&gt;"IN",D236&lt;&gt;"OUT"),"USE IN OR OUT",IF(OR(NOT(ISNUMBER(E236)),E236&lt;=0),"POSITIVE QTY NEEDED","OK"))))))</f>
        <v/>
      </c>
      <c r="I236" s="1"/>
      <c r="J236" s="1"/>
      <c r="K236" s="1"/>
    </row>
    <row r="237" spans="1:11" ht="24" customHeight="1">
      <c r="A237" s="7"/>
      <c r="B237" s="4"/>
      <c r="C237" s="1" t="str">
        <f>IF(B237="","",IF(COUNTIFS(Inventory!$A$12:$A$61,B237)=1,VLOOKUP(B237,Inventory!$A$12:$B$61,2,FALSE),"CHECK ITEM CODE"))</f>
        <v/>
      </c>
      <c r="D237" s="4"/>
      <c r="E237" s="8"/>
      <c r="F237" s="4"/>
      <c r="G237" s="4"/>
      <c r="H237" s="1" t="str">
        <f>IF(COUNTA(A237:B237,D237:G237)=0,"",IF(OR(A237="",B237="",D237="",E237=""),"COMPLETE ENTRY",IF(COUNTIFS(Inventory!$A$12:$A$61,B237)&lt;&gt;1,"CHECK ITEM CODE",IF(OR(NOT(ISNUMBER(A237)),A237&lt;=0),"CHECK DATE",IF(AND(D237&lt;&gt;"IN",D237&lt;&gt;"OUT"),"USE IN OR OUT",IF(OR(NOT(ISNUMBER(E237)),E237&lt;=0),"POSITIVE QTY NEEDED","OK"))))))</f>
        <v/>
      </c>
      <c r="I237" s="1"/>
      <c r="J237" s="1"/>
      <c r="K237" s="1"/>
    </row>
    <row r="238" spans="1:11" ht="24" customHeight="1">
      <c r="A238" s="7"/>
      <c r="B238" s="4"/>
      <c r="C238" s="1" t="str">
        <f>IF(B238="","",IF(COUNTIFS(Inventory!$A$12:$A$61,B238)=1,VLOOKUP(B238,Inventory!$A$12:$B$61,2,FALSE),"CHECK ITEM CODE"))</f>
        <v/>
      </c>
      <c r="D238" s="4"/>
      <c r="E238" s="8"/>
      <c r="F238" s="4"/>
      <c r="G238" s="4"/>
      <c r="H238" s="1" t="str">
        <f>IF(COUNTA(A238:B238,D238:G238)=0,"",IF(OR(A238="",B238="",D238="",E238=""),"COMPLETE ENTRY",IF(COUNTIFS(Inventory!$A$12:$A$61,B238)&lt;&gt;1,"CHECK ITEM CODE",IF(OR(NOT(ISNUMBER(A238)),A238&lt;=0),"CHECK DATE",IF(AND(D238&lt;&gt;"IN",D238&lt;&gt;"OUT"),"USE IN OR OUT",IF(OR(NOT(ISNUMBER(E238)),E238&lt;=0),"POSITIVE QTY NEEDED","OK"))))))</f>
        <v/>
      </c>
      <c r="I238" s="1"/>
      <c r="J238" s="1"/>
      <c r="K238" s="1"/>
    </row>
    <row r="239" spans="1:11" ht="24" customHeight="1">
      <c r="A239" s="7"/>
      <c r="B239" s="4"/>
      <c r="C239" s="1" t="str">
        <f>IF(B239="","",IF(COUNTIFS(Inventory!$A$12:$A$61,B239)=1,VLOOKUP(B239,Inventory!$A$12:$B$61,2,FALSE),"CHECK ITEM CODE"))</f>
        <v/>
      </c>
      <c r="D239" s="4"/>
      <c r="E239" s="8"/>
      <c r="F239" s="4"/>
      <c r="G239" s="4"/>
      <c r="H239" s="1" t="str">
        <f>IF(COUNTA(A239:B239,D239:G239)=0,"",IF(OR(A239="",B239="",D239="",E239=""),"COMPLETE ENTRY",IF(COUNTIFS(Inventory!$A$12:$A$61,B239)&lt;&gt;1,"CHECK ITEM CODE",IF(OR(NOT(ISNUMBER(A239)),A239&lt;=0),"CHECK DATE",IF(AND(D239&lt;&gt;"IN",D239&lt;&gt;"OUT"),"USE IN OR OUT",IF(OR(NOT(ISNUMBER(E239)),E239&lt;=0),"POSITIVE QTY NEEDED","OK"))))))</f>
        <v/>
      </c>
      <c r="I239" s="1"/>
      <c r="J239" s="1"/>
      <c r="K239" s="1"/>
    </row>
    <row r="240" spans="1:11" ht="24" customHeight="1">
      <c r="A240" s="7"/>
      <c r="B240" s="4"/>
      <c r="C240" s="1" t="str">
        <f>IF(B240="","",IF(COUNTIFS(Inventory!$A$12:$A$61,B240)=1,VLOOKUP(B240,Inventory!$A$12:$B$61,2,FALSE),"CHECK ITEM CODE"))</f>
        <v/>
      </c>
      <c r="D240" s="4"/>
      <c r="E240" s="8"/>
      <c r="F240" s="4"/>
      <c r="G240" s="4"/>
      <c r="H240" s="1" t="str">
        <f>IF(COUNTA(A240:B240,D240:G240)=0,"",IF(OR(A240="",B240="",D240="",E240=""),"COMPLETE ENTRY",IF(COUNTIFS(Inventory!$A$12:$A$61,B240)&lt;&gt;1,"CHECK ITEM CODE",IF(OR(NOT(ISNUMBER(A240)),A240&lt;=0),"CHECK DATE",IF(AND(D240&lt;&gt;"IN",D240&lt;&gt;"OUT"),"USE IN OR OUT",IF(OR(NOT(ISNUMBER(E240)),E240&lt;=0),"POSITIVE QTY NEEDED","OK"))))))</f>
        <v/>
      </c>
      <c r="I240" s="1"/>
      <c r="J240" s="1"/>
      <c r="K240" s="1"/>
    </row>
    <row r="241" spans="1:11" ht="24" customHeight="1">
      <c r="A241" s="7"/>
      <c r="B241" s="4"/>
      <c r="C241" s="1" t="str">
        <f>IF(B241="","",IF(COUNTIFS(Inventory!$A$12:$A$61,B241)=1,VLOOKUP(B241,Inventory!$A$12:$B$61,2,FALSE),"CHECK ITEM CODE"))</f>
        <v/>
      </c>
      <c r="D241" s="4"/>
      <c r="E241" s="8"/>
      <c r="F241" s="4"/>
      <c r="G241" s="4"/>
      <c r="H241" s="1" t="str">
        <f>IF(COUNTA(A241:B241,D241:G241)=0,"",IF(OR(A241="",B241="",D241="",E241=""),"COMPLETE ENTRY",IF(COUNTIFS(Inventory!$A$12:$A$61,B241)&lt;&gt;1,"CHECK ITEM CODE",IF(OR(NOT(ISNUMBER(A241)),A241&lt;=0),"CHECK DATE",IF(AND(D241&lt;&gt;"IN",D241&lt;&gt;"OUT"),"USE IN OR OUT",IF(OR(NOT(ISNUMBER(E241)),E241&lt;=0),"POSITIVE QTY NEEDED","OK"))))))</f>
        <v/>
      </c>
      <c r="I241" s="1"/>
      <c r="J241" s="1"/>
      <c r="K241" s="1"/>
    </row>
    <row r="242" spans="1:11" ht="24" customHeight="1">
      <c r="A242" s="7"/>
      <c r="B242" s="4"/>
      <c r="C242" s="1" t="str">
        <f>IF(B242="","",IF(COUNTIFS(Inventory!$A$12:$A$61,B242)=1,VLOOKUP(B242,Inventory!$A$12:$B$61,2,FALSE),"CHECK ITEM CODE"))</f>
        <v/>
      </c>
      <c r="D242" s="4"/>
      <c r="E242" s="8"/>
      <c r="F242" s="4"/>
      <c r="G242" s="4"/>
      <c r="H242" s="1" t="str">
        <f>IF(COUNTA(A242:B242,D242:G242)=0,"",IF(OR(A242="",B242="",D242="",E242=""),"COMPLETE ENTRY",IF(COUNTIFS(Inventory!$A$12:$A$61,B242)&lt;&gt;1,"CHECK ITEM CODE",IF(OR(NOT(ISNUMBER(A242)),A242&lt;=0),"CHECK DATE",IF(AND(D242&lt;&gt;"IN",D242&lt;&gt;"OUT"),"USE IN OR OUT",IF(OR(NOT(ISNUMBER(E242)),E242&lt;=0),"POSITIVE QTY NEEDED","OK"))))))</f>
        <v/>
      </c>
      <c r="I242" s="1"/>
      <c r="J242" s="1"/>
      <c r="K242" s="1"/>
    </row>
    <row r="243" spans="1:11" ht="24" customHeight="1">
      <c r="A243" s="7"/>
      <c r="B243" s="4"/>
      <c r="C243" s="1" t="str">
        <f>IF(B243="","",IF(COUNTIFS(Inventory!$A$12:$A$61,B243)=1,VLOOKUP(B243,Inventory!$A$12:$B$61,2,FALSE),"CHECK ITEM CODE"))</f>
        <v/>
      </c>
      <c r="D243" s="4"/>
      <c r="E243" s="8"/>
      <c r="F243" s="4"/>
      <c r="G243" s="4"/>
      <c r="H243" s="1" t="str">
        <f>IF(COUNTA(A243:B243,D243:G243)=0,"",IF(OR(A243="",B243="",D243="",E243=""),"COMPLETE ENTRY",IF(COUNTIFS(Inventory!$A$12:$A$61,B243)&lt;&gt;1,"CHECK ITEM CODE",IF(OR(NOT(ISNUMBER(A243)),A243&lt;=0),"CHECK DATE",IF(AND(D243&lt;&gt;"IN",D243&lt;&gt;"OUT"),"USE IN OR OUT",IF(OR(NOT(ISNUMBER(E243)),E243&lt;=0),"POSITIVE QTY NEEDED","OK"))))))</f>
        <v/>
      </c>
      <c r="I243" s="1"/>
      <c r="J243" s="1"/>
      <c r="K243" s="1"/>
    </row>
    <row r="244" spans="1:11" ht="24" customHeight="1">
      <c r="A244" s="7"/>
      <c r="B244" s="4"/>
      <c r="C244" s="1" t="str">
        <f>IF(B244="","",IF(COUNTIFS(Inventory!$A$12:$A$61,B244)=1,VLOOKUP(B244,Inventory!$A$12:$B$61,2,FALSE),"CHECK ITEM CODE"))</f>
        <v/>
      </c>
      <c r="D244" s="4"/>
      <c r="E244" s="8"/>
      <c r="F244" s="4"/>
      <c r="G244" s="4"/>
      <c r="H244" s="1" t="str">
        <f>IF(COUNTA(A244:B244,D244:G244)=0,"",IF(OR(A244="",B244="",D244="",E244=""),"COMPLETE ENTRY",IF(COUNTIFS(Inventory!$A$12:$A$61,B244)&lt;&gt;1,"CHECK ITEM CODE",IF(OR(NOT(ISNUMBER(A244)),A244&lt;=0),"CHECK DATE",IF(AND(D244&lt;&gt;"IN",D244&lt;&gt;"OUT"),"USE IN OR OUT",IF(OR(NOT(ISNUMBER(E244)),E244&lt;=0),"POSITIVE QTY NEEDED","OK"))))))</f>
        <v/>
      </c>
      <c r="I244" s="1"/>
      <c r="J244" s="1"/>
      <c r="K244" s="1"/>
    </row>
    <row r="245" spans="1:11" ht="24" customHeight="1">
      <c r="A245" s="7"/>
      <c r="B245" s="4"/>
      <c r="C245" s="1" t="str">
        <f>IF(B245="","",IF(COUNTIFS(Inventory!$A$12:$A$61,B245)=1,VLOOKUP(B245,Inventory!$A$12:$B$61,2,FALSE),"CHECK ITEM CODE"))</f>
        <v/>
      </c>
      <c r="D245" s="4"/>
      <c r="E245" s="8"/>
      <c r="F245" s="4"/>
      <c r="G245" s="4"/>
      <c r="H245" s="1" t="str">
        <f>IF(COUNTA(A245:B245,D245:G245)=0,"",IF(OR(A245="",B245="",D245="",E245=""),"COMPLETE ENTRY",IF(COUNTIFS(Inventory!$A$12:$A$61,B245)&lt;&gt;1,"CHECK ITEM CODE",IF(OR(NOT(ISNUMBER(A245)),A245&lt;=0),"CHECK DATE",IF(AND(D245&lt;&gt;"IN",D245&lt;&gt;"OUT"),"USE IN OR OUT",IF(OR(NOT(ISNUMBER(E245)),E245&lt;=0),"POSITIVE QTY NEEDED","OK"))))))</f>
        <v/>
      </c>
      <c r="I245" s="1"/>
      <c r="J245" s="1"/>
      <c r="K245" s="1"/>
    </row>
    <row r="246" spans="1:11" ht="24" customHeight="1">
      <c r="A246" s="7"/>
      <c r="B246" s="4"/>
      <c r="C246" s="1" t="str">
        <f>IF(B246="","",IF(COUNTIFS(Inventory!$A$12:$A$61,B246)=1,VLOOKUP(B246,Inventory!$A$12:$B$61,2,FALSE),"CHECK ITEM CODE"))</f>
        <v/>
      </c>
      <c r="D246" s="4"/>
      <c r="E246" s="8"/>
      <c r="F246" s="4"/>
      <c r="G246" s="4"/>
      <c r="H246" s="1" t="str">
        <f>IF(COUNTA(A246:B246,D246:G246)=0,"",IF(OR(A246="",B246="",D246="",E246=""),"COMPLETE ENTRY",IF(COUNTIFS(Inventory!$A$12:$A$61,B246)&lt;&gt;1,"CHECK ITEM CODE",IF(OR(NOT(ISNUMBER(A246)),A246&lt;=0),"CHECK DATE",IF(AND(D246&lt;&gt;"IN",D246&lt;&gt;"OUT"),"USE IN OR OUT",IF(OR(NOT(ISNUMBER(E246)),E246&lt;=0),"POSITIVE QTY NEEDED","OK"))))))</f>
        <v/>
      </c>
      <c r="I246" s="1"/>
      <c r="J246" s="1"/>
      <c r="K246" s="1"/>
    </row>
    <row r="247" spans="1:11" ht="24" customHeight="1">
      <c r="A247" s="7"/>
      <c r="B247" s="4"/>
      <c r="C247" s="1" t="str">
        <f>IF(B247="","",IF(COUNTIFS(Inventory!$A$12:$A$61,B247)=1,VLOOKUP(B247,Inventory!$A$12:$B$61,2,FALSE),"CHECK ITEM CODE"))</f>
        <v/>
      </c>
      <c r="D247" s="4"/>
      <c r="E247" s="8"/>
      <c r="F247" s="4"/>
      <c r="G247" s="4"/>
      <c r="H247" s="1" t="str">
        <f>IF(COUNTA(A247:B247,D247:G247)=0,"",IF(OR(A247="",B247="",D247="",E247=""),"COMPLETE ENTRY",IF(COUNTIFS(Inventory!$A$12:$A$61,B247)&lt;&gt;1,"CHECK ITEM CODE",IF(OR(NOT(ISNUMBER(A247)),A247&lt;=0),"CHECK DATE",IF(AND(D247&lt;&gt;"IN",D247&lt;&gt;"OUT"),"USE IN OR OUT",IF(OR(NOT(ISNUMBER(E247)),E247&lt;=0),"POSITIVE QTY NEEDED","OK"))))))</f>
        <v/>
      </c>
      <c r="I247" s="1"/>
      <c r="J247" s="1"/>
      <c r="K247" s="1"/>
    </row>
    <row r="248" spans="1:11" ht="24" customHeight="1">
      <c r="A248" s="7"/>
      <c r="B248" s="4"/>
      <c r="C248" s="1" t="str">
        <f>IF(B248="","",IF(COUNTIFS(Inventory!$A$12:$A$61,B248)=1,VLOOKUP(B248,Inventory!$A$12:$B$61,2,FALSE),"CHECK ITEM CODE"))</f>
        <v/>
      </c>
      <c r="D248" s="4"/>
      <c r="E248" s="8"/>
      <c r="F248" s="4"/>
      <c r="G248" s="4"/>
      <c r="H248" s="1" t="str">
        <f>IF(COUNTA(A248:B248,D248:G248)=0,"",IF(OR(A248="",B248="",D248="",E248=""),"COMPLETE ENTRY",IF(COUNTIFS(Inventory!$A$12:$A$61,B248)&lt;&gt;1,"CHECK ITEM CODE",IF(OR(NOT(ISNUMBER(A248)),A248&lt;=0),"CHECK DATE",IF(AND(D248&lt;&gt;"IN",D248&lt;&gt;"OUT"),"USE IN OR OUT",IF(OR(NOT(ISNUMBER(E248)),E248&lt;=0),"POSITIVE QTY NEEDED","OK"))))))</f>
        <v/>
      </c>
      <c r="I248" s="1"/>
      <c r="J248" s="1"/>
      <c r="K248" s="1"/>
    </row>
    <row r="249" spans="1:11" ht="24" customHeight="1">
      <c r="A249" s="7"/>
      <c r="B249" s="4"/>
      <c r="C249" s="1" t="str">
        <f>IF(B249="","",IF(COUNTIFS(Inventory!$A$12:$A$61,B249)=1,VLOOKUP(B249,Inventory!$A$12:$B$61,2,FALSE),"CHECK ITEM CODE"))</f>
        <v/>
      </c>
      <c r="D249" s="4"/>
      <c r="E249" s="8"/>
      <c r="F249" s="4"/>
      <c r="G249" s="4"/>
      <c r="H249" s="1" t="str">
        <f>IF(COUNTA(A249:B249,D249:G249)=0,"",IF(OR(A249="",B249="",D249="",E249=""),"COMPLETE ENTRY",IF(COUNTIFS(Inventory!$A$12:$A$61,B249)&lt;&gt;1,"CHECK ITEM CODE",IF(OR(NOT(ISNUMBER(A249)),A249&lt;=0),"CHECK DATE",IF(AND(D249&lt;&gt;"IN",D249&lt;&gt;"OUT"),"USE IN OR OUT",IF(OR(NOT(ISNUMBER(E249)),E249&lt;=0),"POSITIVE QTY NEEDED","OK"))))))</f>
        <v/>
      </c>
      <c r="I249" s="1"/>
      <c r="J249" s="1"/>
      <c r="K249" s="1"/>
    </row>
    <row r="250" spans="1:11" ht="24" customHeight="1">
      <c r="A250" s="7"/>
      <c r="B250" s="4"/>
      <c r="C250" s="1" t="str">
        <f>IF(B250="","",IF(COUNTIFS(Inventory!$A$12:$A$61,B250)=1,VLOOKUP(B250,Inventory!$A$12:$B$61,2,FALSE),"CHECK ITEM CODE"))</f>
        <v/>
      </c>
      <c r="D250" s="4"/>
      <c r="E250" s="8"/>
      <c r="F250" s="4"/>
      <c r="G250" s="4"/>
      <c r="H250" s="1" t="str">
        <f>IF(COUNTA(A250:B250,D250:G250)=0,"",IF(OR(A250="",B250="",D250="",E250=""),"COMPLETE ENTRY",IF(COUNTIFS(Inventory!$A$12:$A$61,B250)&lt;&gt;1,"CHECK ITEM CODE",IF(OR(NOT(ISNUMBER(A250)),A250&lt;=0),"CHECK DATE",IF(AND(D250&lt;&gt;"IN",D250&lt;&gt;"OUT"),"USE IN OR OUT",IF(OR(NOT(ISNUMBER(E250)),E250&lt;=0),"POSITIVE QTY NEEDED","OK"))))))</f>
        <v/>
      </c>
      <c r="I250" s="1"/>
      <c r="J250" s="1"/>
      <c r="K250" s="1"/>
    </row>
    <row r="251" spans="1:11" ht="24" customHeight="1">
      <c r="A251" s="7"/>
      <c r="B251" s="4"/>
      <c r="C251" s="1" t="str">
        <f>IF(B251="","",IF(COUNTIFS(Inventory!$A$12:$A$61,B251)=1,VLOOKUP(B251,Inventory!$A$12:$B$61,2,FALSE),"CHECK ITEM CODE"))</f>
        <v/>
      </c>
      <c r="D251" s="4"/>
      <c r="E251" s="8"/>
      <c r="F251" s="4"/>
      <c r="G251" s="4"/>
      <c r="H251" s="1" t="str">
        <f>IF(COUNTA(A251:B251,D251:G251)=0,"",IF(OR(A251="",B251="",D251="",E251=""),"COMPLETE ENTRY",IF(COUNTIFS(Inventory!$A$12:$A$61,B251)&lt;&gt;1,"CHECK ITEM CODE",IF(OR(NOT(ISNUMBER(A251)),A251&lt;=0),"CHECK DATE",IF(AND(D251&lt;&gt;"IN",D251&lt;&gt;"OUT"),"USE IN OR OUT",IF(OR(NOT(ISNUMBER(E251)),E251&lt;=0),"POSITIVE QTY NEEDED","OK"))))))</f>
        <v/>
      </c>
      <c r="I251" s="1"/>
      <c r="J251" s="1"/>
      <c r="K251" s="1"/>
    </row>
    <row r="252" spans="1:11" ht="24" customHeight="1">
      <c r="A252" s="7"/>
      <c r="B252" s="4"/>
      <c r="C252" s="1" t="str">
        <f>IF(B252="","",IF(COUNTIFS(Inventory!$A$12:$A$61,B252)=1,VLOOKUP(B252,Inventory!$A$12:$B$61,2,FALSE),"CHECK ITEM CODE"))</f>
        <v/>
      </c>
      <c r="D252" s="4"/>
      <c r="E252" s="8"/>
      <c r="F252" s="4"/>
      <c r="G252" s="4"/>
      <c r="H252" s="1" t="str">
        <f>IF(COUNTA(A252:B252,D252:G252)=0,"",IF(OR(A252="",B252="",D252="",E252=""),"COMPLETE ENTRY",IF(COUNTIFS(Inventory!$A$12:$A$61,B252)&lt;&gt;1,"CHECK ITEM CODE",IF(OR(NOT(ISNUMBER(A252)),A252&lt;=0),"CHECK DATE",IF(AND(D252&lt;&gt;"IN",D252&lt;&gt;"OUT"),"USE IN OR OUT",IF(OR(NOT(ISNUMBER(E252)),E252&lt;=0),"POSITIVE QTY NEEDED","OK"))))))</f>
        <v/>
      </c>
      <c r="I252" s="1"/>
      <c r="J252" s="1"/>
      <c r="K252" s="1"/>
    </row>
    <row r="253" spans="1:11" ht="24" customHeight="1">
      <c r="A253" s="7"/>
      <c r="B253" s="4"/>
      <c r="C253" s="1" t="str">
        <f>IF(B253="","",IF(COUNTIFS(Inventory!$A$12:$A$61,B253)=1,VLOOKUP(B253,Inventory!$A$12:$B$61,2,FALSE),"CHECK ITEM CODE"))</f>
        <v/>
      </c>
      <c r="D253" s="4"/>
      <c r="E253" s="8"/>
      <c r="F253" s="4"/>
      <c r="G253" s="4"/>
      <c r="H253" s="1" t="str">
        <f>IF(COUNTA(A253:B253,D253:G253)=0,"",IF(OR(A253="",B253="",D253="",E253=""),"COMPLETE ENTRY",IF(COUNTIFS(Inventory!$A$12:$A$61,B253)&lt;&gt;1,"CHECK ITEM CODE",IF(OR(NOT(ISNUMBER(A253)),A253&lt;=0),"CHECK DATE",IF(AND(D253&lt;&gt;"IN",D253&lt;&gt;"OUT"),"USE IN OR OUT",IF(OR(NOT(ISNUMBER(E253)),E253&lt;=0),"POSITIVE QTY NEEDED","OK"))))))</f>
        <v/>
      </c>
      <c r="I253" s="1"/>
      <c r="J253" s="1"/>
      <c r="K253" s="1"/>
    </row>
    <row r="254" spans="1:11" ht="24" customHeight="1">
      <c r="A254" s="7"/>
      <c r="B254" s="4"/>
      <c r="C254" s="1" t="str">
        <f>IF(B254="","",IF(COUNTIFS(Inventory!$A$12:$A$61,B254)=1,VLOOKUP(B254,Inventory!$A$12:$B$61,2,FALSE),"CHECK ITEM CODE"))</f>
        <v/>
      </c>
      <c r="D254" s="4"/>
      <c r="E254" s="8"/>
      <c r="F254" s="4"/>
      <c r="G254" s="4"/>
      <c r="H254" s="1" t="str">
        <f>IF(COUNTA(A254:B254,D254:G254)=0,"",IF(OR(A254="",B254="",D254="",E254=""),"COMPLETE ENTRY",IF(COUNTIFS(Inventory!$A$12:$A$61,B254)&lt;&gt;1,"CHECK ITEM CODE",IF(OR(NOT(ISNUMBER(A254)),A254&lt;=0),"CHECK DATE",IF(AND(D254&lt;&gt;"IN",D254&lt;&gt;"OUT"),"USE IN OR OUT",IF(OR(NOT(ISNUMBER(E254)),E254&lt;=0),"POSITIVE QTY NEEDED","OK"))))))</f>
        <v/>
      </c>
      <c r="I254" s="1"/>
      <c r="J254" s="1"/>
      <c r="K254" s="1"/>
    </row>
    <row r="255" spans="1:11" ht="24" customHeight="1">
      <c r="A255" s="7"/>
      <c r="B255" s="4"/>
      <c r="C255" s="1" t="str">
        <f>IF(B255="","",IF(COUNTIFS(Inventory!$A$12:$A$61,B255)=1,VLOOKUP(B255,Inventory!$A$12:$B$61,2,FALSE),"CHECK ITEM CODE"))</f>
        <v/>
      </c>
      <c r="D255" s="4"/>
      <c r="E255" s="8"/>
      <c r="F255" s="4"/>
      <c r="G255" s="4"/>
      <c r="H255" s="1" t="str">
        <f>IF(COUNTA(A255:B255,D255:G255)=0,"",IF(OR(A255="",B255="",D255="",E255=""),"COMPLETE ENTRY",IF(COUNTIFS(Inventory!$A$12:$A$61,B255)&lt;&gt;1,"CHECK ITEM CODE",IF(OR(NOT(ISNUMBER(A255)),A255&lt;=0),"CHECK DATE",IF(AND(D255&lt;&gt;"IN",D255&lt;&gt;"OUT"),"USE IN OR OUT",IF(OR(NOT(ISNUMBER(E255)),E255&lt;=0),"POSITIVE QTY NEEDED","OK"))))))</f>
        <v/>
      </c>
      <c r="I255" s="1"/>
      <c r="J255" s="1"/>
      <c r="K255" s="1"/>
    </row>
    <row r="256" spans="1:11" ht="24" customHeight="1">
      <c r="A256" s="7"/>
      <c r="B256" s="4"/>
      <c r="C256" s="1" t="str">
        <f>IF(B256="","",IF(COUNTIFS(Inventory!$A$12:$A$61,B256)=1,VLOOKUP(B256,Inventory!$A$12:$B$61,2,FALSE),"CHECK ITEM CODE"))</f>
        <v/>
      </c>
      <c r="D256" s="4"/>
      <c r="E256" s="8"/>
      <c r="F256" s="4"/>
      <c r="G256" s="4"/>
      <c r="H256" s="1" t="str">
        <f>IF(COUNTA(A256:B256,D256:G256)=0,"",IF(OR(A256="",B256="",D256="",E256=""),"COMPLETE ENTRY",IF(COUNTIFS(Inventory!$A$12:$A$61,B256)&lt;&gt;1,"CHECK ITEM CODE",IF(OR(NOT(ISNUMBER(A256)),A256&lt;=0),"CHECK DATE",IF(AND(D256&lt;&gt;"IN",D256&lt;&gt;"OUT"),"USE IN OR OUT",IF(OR(NOT(ISNUMBER(E256)),E256&lt;=0),"POSITIVE QTY NEEDED","OK"))))))</f>
        <v/>
      </c>
      <c r="I256" s="1"/>
      <c r="J256" s="1"/>
      <c r="K256" s="1"/>
    </row>
    <row r="257" spans="1:11" ht="24" customHeight="1">
      <c r="A257" s="7"/>
      <c r="B257" s="4"/>
      <c r="C257" s="1" t="str">
        <f>IF(B257="","",IF(COUNTIFS(Inventory!$A$12:$A$61,B257)=1,VLOOKUP(B257,Inventory!$A$12:$B$61,2,FALSE),"CHECK ITEM CODE"))</f>
        <v/>
      </c>
      <c r="D257" s="4"/>
      <c r="E257" s="8"/>
      <c r="F257" s="4"/>
      <c r="G257" s="4"/>
      <c r="H257" s="1" t="str">
        <f>IF(COUNTA(A257:B257,D257:G257)=0,"",IF(OR(A257="",B257="",D257="",E257=""),"COMPLETE ENTRY",IF(COUNTIFS(Inventory!$A$12:$A$61,B257)&lt;&gt;1,"CHECK ITEM CODE",IF(OR(NOT(ISNUMBER(A257)),A257&lt;=0),"CHECK DATE",IF(AND(D257&lt;&gt;"IN",D257&lt;&gt;"OUT"),"USE IN OR OUT",IF(OR(NOT(ISNUMBER(E257)),E257&lt;=0),"POSITIVE QTY NEEDED","OK"))))))</f>
        <v/>
      </c>
      <c r="I257" s="1"/>
      <c r="J257" s="1"/>
      <c r="K257" s="1"/>
    </row>
    <row r="258" spans="1:11" ht="24" customHeight="1">
      <c r="A258" s="7"/>
      <c r="B258" s="4"/>
      <c r="C258" s="1" t="str">
        <f>IF(B258="","",IF(COUNTIFS(Inventory!$A$12:$A$61,B258)=1,VLOOKUP(B258,Inventory!$A$12:$B$61,2,FALSE),"CHECK ITEM CODE"))</f>
        <v/>
      </c>
      <c r="D258" s="4"/>
      <c r="E258" s="8"/>
      <c r="F258" s="4"/>
      <c r="G258" s="4"/>
      <c r="H258" s="1" t="str">
        <f>IF(COUNTA(A258:B258,D258:G258)=0,"",IF(OR(A258="",B258="",D258="",E258=""),"COMPLETE ENTRY",IF(COUNTIFS(Inventory!$A$12:$A$61,B258)&lt;&gt;1,"CHECK ITEM CODE",IF(OR(NOT(ISNUMBER(A258)),A258&lt;=0),"CHECK DATE",IF(AND(D258&lt;&gt;"IN",D258&lt;&gt;"OUT"),"USE IN OR OUT",IF(OR(NOT(ISNUMBER(E258)),E258&lt;=0),"POSITIVE QTY NEEDED","OK"))))))</f>
        <v/>
      </c>
      <c r="I258" s="1"/>
      <c r="J258" s="1"/>
      <c r="K258" s="1"/>
    </row>
    <row r="259" spans="1:11" ht="24" customHeight="1">
      <c r="A259" s="7"/>
      <c r="B259" s="4"/>
      <c r="C259" s="1" t="str">
        <f>IF(B259="","",IF(COUNTIFS(Inventory!$A$12:$A$61,B259)=1,VLOOKUP(B259,Inventory!$A$12:$B$61,2,FALSE),"CHECK ITEM CODE"))</f>
        <v/>
      </c>
      <c r="D259" s="4"/>
      <c r="E259" s="8"/>
      <c r="F259" s="4"/>
      <c r="G259" s="4"/>
      <c r="H259" s="1" t="str">
        <f>IF(COUNTA(A259:B259,D259:G259)=0,"",IF(OR(A259="",B259="",D259="",E259=""),"COMPLETE ENTRY",IF(COUNTIFS(Inventory!$A$12:$A$61,B259)&lt;&gt;1,"CHECK ITEM CODE",IF(OR(NOT(ISNUMBER(A259)),A259&lt;=0),"CHECK DATE",IF(AND(D259&lt;&gt;"IN",D259&lt;&gt;"OUT"),"USE IN OR OUT",IF(OR(NOT(ISNUMBER(E259)),E259&lt;=0),"POSITIVE QTY NEEDED","OK"))))))</f>
        <v/>
      </c>
      <c r="I259" s="1"/>
      <c r="J259" s="1"/>
      <c r="K259" s="1"/>
    </row>
    <row r="260" spans="1:11" ht="24" customHeight="1">
      <c r="A260" s="7"/>
      <c r="B260" s="4"/>
      <c r="C260" s="1" t="str">
        <f>IF(B260="","",IF(COUNTIFS(Inventory!$A$12:$A$61,B260)=1,VLOOKUP(B260,Inventory!$A$12:$B$61,2,FALSE),"CHECK ITEM CODE"))</f>
        <v/>
      </c>
      <c r="D260" s="4"/>
      <c r="E260" s="8"/>
      <c r="F260" s="4"/>
      <c r="G260" s="4"/>
      <c r="H260" s="1" t="str">
        <f>IF(COUNTA(A260:B260,D260:G260)=0,"",IF(OR(A260="",B260="",D260="",E260=""),"COMPLETE ENTRY",IF(COUNTIFS(Inventory!$A$12:$A$61,B260)&lt;&gt;1,"CHECK ITEM CODE",IF(OR(NOT(ISNUMBER(A260)),A260&lt;=0),"CHECK DATE",IF(AND(D260&lt;&gt;"IN",D260&lt;&gt;"OUT"),"USE IN OR OUT",IF(OR(NOT(ISNUMBER(E260)),E260&lt;=0),"POSITIVE QTY NEEDED","OK"))))))</f>
        <v/>
      </c>
      <c r="I260" s="1"/>
      <c r="J260" s="1"/>
      <c r="K260" s="1"/>
    </row>
    <row r="261" spans="1:11" ht="24" customHeight="1">
      <c r="A261" s="7"/>
      <c r="B261" s="4"/>
      <c r="C261" s="1" t="str">
        <f>IF(B261="","",IF(COUNTIFS(Inventory!$A$12:$A$61,B261)=1,VLOOKUP(B261,Inventory!$A$12:$B$61,2,FALSE),"CHECK ITEM CODE"))</f>
        <v/>
      </c>
      <c r="D261" s="4"/>
      <c r="E261" s="8"/>
      <c r="F261" s="4"/>
      <c r="G261" s="4"/>
      <c r="H261" s="1" t="str">
        <f>IF(COUNTA(A261:B261,D261:G261)=0,"",IF(OR(A261="",B261="",D261="",E261=""),"COMPLETE ENTRY",IF(COUNTIFS(Inventory!$A$12:$A$61,B261)&lt;&gt;1,"CHECK ITEM CODE",IF(OR(NOT(ISNUMBER(A261)),A261&lt;=0),"CHECK DATE",IF(AND(D261&lt;&gt;"IN",D261&lt;&gt;"OUT"),"USE IN OR OUT",IF(OR(NOT(ISNUMBER(E261)),E261&lt;=0),"POSITIVE QTY NEEDED","OK"))))))</f>
        <v/>
      </c>
      <c r="I261" s="1"/>
      <c r="J261" s="1"/>
      <c r="K261" s="1"/>
    </row>
    <row r="262" spans="1:11" ht="24" customHeight="1">
      <c r="A262" s="7"/>
      <c r="B262" s="4"/>
      <c r="C262" s="1" t="str">
        <f>IF(B262="","",IF(COUNTIFS(Inventory!$A$12:$A$61,B262)=1,VLOOKUP(B262,Inventory!$A$12:$B$61,2,FALSE),"CHECK ITEM CODE"))</f>
        <v/>
      </c>
      <c r="D262" s="4"/>
      <c r="E262" s="8"/>
      <c r="F262" s="4"/>
      <c r="G262" s="4"/>
      <c r="H262" s="1" t="str">
        <f>IF(COUNTA(A262:B262,D262:G262)=0,"",IF(OR(A262="",B262="",D262="",E262=""),"COMPLETE ENTRY",IF(COUNTIFS(Inventory!$A$12:$A$61,B262)&lt;&gt;1,"CHECK ITEM CODE",IF(OR(NOT(ISNUMBER(A262)),A262&lt;=0),"CHECK DATE",IF(AND(D262&lt;&gt;"IN",D262&lt;&gt;"OUT"),"USE IN OR OUT",IF(OR(NOT(ISNUMBER(E262)),E262&lt;=0),"POSITIVE QTY NEEDED","OK"))))))</f>
        <v/>
      </c>
      <c r="I262" s="1"/>
      <c r="J262" s="1"/>
      <c r="K262" s="1"/>
    </row>
    <row r="263" spans="1:11" ht="24" customHeight="1">
      <c r="A263" s="7"/>
      <c r="B263" s="4"/>
      <c r="C263" s="1" t="str">
        <f>IF(B263="","",IF(COUNTIFS(Inventory!$A$12:$A$61,B263)=1,VLOOKUP(B263,Inventory!$A$12:$B$61,2,FALSE),"CHECK ITEM CODE"))</f>
        <v/>
      </c>
      <c r="D263" s="4"/>
      <c r="E263" s="8"/>
      <c r="F263" s="4"/>
      <c r="G263" s="4"/>
      <c r="H263" s="1" t="str">
        <f>IF(COUNTA(A263:B263,D263:G263)=0,"",IF(OR(A263="",B263="",D263="",E263=""),"COMPLETE ENTRY",IF(COUNTIFS(Inventory!$A$12:$A$61,B263)&lt;&gt;1,"CHECK ITEM CODE",IF(OR(NOT(ISNUMBER(A263)),A263&lt;=0),"CHECK DATE",IF(AND(D263&lt;&gt;"IN",D263&lt;&gt;"OUT"),"USE IN OR OUT",IF(OR(NOT(ISNUMBER(E263)),E263&lt;=0),"POSITIVE QTY NEEDED","OK"))))))</f>
        <v/>
      </c>
      <c r="I263" s="1"/>
      <c r="J263" s="1"/>
      <c r="K263" s="1"/>
    </row>
    <row r="264" spans="1:11" ht="24" customHeight="1">
      <c r="A264" s="7"/>
      <c r="B264" s="4"/>
      <c r="C264" s="1" t="str">
        <f>IF(B264="","",IF(COUNTIFS(Inventory!$A$12:$A$61,B264)=1,VLOOKUP(B264,Inventory!$A$12:$B$61,2,FALSE),"CHECK ITEM CODE"))</f>
        <v/>
      </c>
      <c r="D264" s="4"/>
      <c r="E264" s="8"/>
      <c r="F264" s="4"/>
      <c r="G264" s="4"/>
      <c r="H264" s="1" t="str">
        <f>IF(COUNTA(A264:B264,D264:G264)=0,"",IF(OR(A264="",B264="",D264="",E264=""),"COMPLETE ENTRY",IF(COUNTIFS(Inventory!$A$12:$A$61,B264)&lt;&gt;1,"CHECK ITEM CODE",IF(OR(NOT(ISNUMBER(A264)),A264&lt;=0),"CHECK DATE",IF(AND(D264&lt;&gt;"IN",D264&lt;&gt;"OUT"),"USE IN OR OUT",IF(OR(NOT(ISNUMBER(E264)),E264&lt;=0),"POSITIVE QTY NEEDED","OK"))))))</f>
        <v/>
      </c>
      <c r="I264" s="1"/>
      <c r="J264" s="1"/>
      <c r="K264" s="1"/>
    </row>
    <row r="265" spans="1:11" ht="24" customHeight="1">
      <c r="A265" s="7"/>
      <c r="B265" s="4"/>
      <c r="C265" s="1" t="str">
        <f>IF(B265="","",IF(COUNTIFS(Inventory!$A$12:$A$61,B265)=1,VLOOKUP(B265,Inventory!$A$12:$B$61,2,FALSE),"CHECK ITEM CODE"))</f>
        <v/>
      </c>
      <c r="D265" s="4"/>
      <c r="E265" s="8"/>
      <c r="F265" s="4"/>
      <c r="G265" s="4"/>
      <c r="H265" s="1" t="str">
        <f>IF(COUNTA(A265:B265,D265:G265)=0,"",IF(OR(A265="",B265="",D265="",E265=""),"COMPLETE ENTRY",IF(COUNTIFS(Inventory!$A$12:$A$61,B265)&lt;&gt;1,"CHECK ITEM CODE",IF(OR(NOT(ISNUMBER(A265)),A265&lt;=0),"CHECK DATE",IF(AND(D265&lt;&gt;"IN",D265&lt;&gt;"OUT"),"USE IN OR OUT",IF(OR(NOT(ISNUMBER(E265)),E265&lt;=0),"POSITIVE QTY NEEDED","OK"))))))</f>
        <v/>
      </c>
      <c r="I265" s="1"/>
      <c r="J265" s="1"/>
      <c r="K265" s="1"/>
    </row>
    <row r="266" spans="1:11" ht="24" customHeight="1">
      <c r="A266" s="7"/>
      <c r="B266" s="4"/>
      <c r="C266" s="1" t="str">
        <f>IF(B266="","",IF(COUNTIFS(Inventory!$A$12:$A$61,B266)=1,VLOOKUP(B266,Inventory!$A$12:$B$61,2,FALSE),"CHECK ITEM CODE"))</f>
        <v/>
      </c>
      <c r="D266" s="4"/>
      <c r="E266" s="8"/>
      <c r="F266" s="4"/>
      <c r="G266" s="4"/>
      <c r="H266" s="1" t="str">
        <f>IF(COUNTA(A266:B266,D266:G266)=0,"",IF(OR(A266="",B266="",D266="",E266=""),"COMPLETE ENTRY",IF(COUNTIFS(Inventory!$A$12:$A$61,B266)&lt;&gt;1,"CHECK ITEM CODE",IF(OR(NOT(ISNUMBER(A266)),A266&lt;=0),"CHECK DATE",IF(AND(D266&lt;&gt;"IN",D266&lt;&gt;"OUT"),"USE IN OR OUT",IF(OR(NOT(ISNUMBER(E266)),E266&lt;=0),"POSITIVE QTY NEEDED","OK"))))))</f>
        <v/>
      </c>
      <c r="I266" s="1"/>
      <c r="J266" s="1"/>
      <c r="K266" s="1"/>
    </row>
    <row r="267" spans="1:11" ht="24" customHeight="1">
      <c r="A267" s="7"/>
      <c r="B267" s="4"/>
      <c r="C267" s="1" t="str">
        <f>IF(B267="","",IF(COUNTIFS(Inventory!$A$12:$A$61,B267)=1,VLOOKUP(B267,Inventory!$A$12:$B$61,2,FALSE),"CHECK ITEM CODE"))</f>
        <v/>
      </c>
      <c r="D267" s="4"/>
      <c r="E267" s="8"/>
      <c r="F267" s="4"/>
      <c r="G267" s="4"/>
      <c r="H267" s="1" t="str">
        <f>IF(COUNTA(A267:B267,D267:G267)=0,"",IF(OR(A267="",B267="",D267="",E267=""),"COMPLETE ENTRY",IF(COUNTIFS(Inventory!$A$12:$A$61,B267)&lt;&gt;1,"CHECK ITEM CODE",IF(OR(NOT(ISNUMBER(A267)),A267&lt;=0),"CHECK DATE",IF(AND(D267&lt;&gt;"IN",D267&lt;&gt;"OUT"),"USE IN OR OUT",IF(OR(NOT(ISNUMBER(E267)),E267&lt;=0),"POSITIVE QTY NEEDED","OK"))))))</f>
        <v/>
      </c>
      <c r="I267" s="1"/>
      <c r="J267" s="1"/>
      <c r="K267" s="1"/>
    </row>
    <row r="268" spans="1:11" ht="24" customHeight="1">
      <c r="A268" s="7"/>
      <c r="B268" s="4"/>
      <c r="C268" s="1" t="str">
        <f>IF(B268="","",IF(COUNTIFS(Inventory!$A$12:$A$61,B268)=1,VLOOKUP(B268,Inventory!$A$12:$B$61,2,FALSE),"CHECK ITEM CODE"))</f>
        <v/>
      </c>
      <c r="D268" s="4"/>
      <c r="E268" s="8"/>
      <c r="F268" s="4"/>
      <c r="G268" s="4"/>
      <c r="H268" s="1" t="str">
        <f>IF(COUNTA(A268:B268,D268:G268)=0,"",IF(OR(A268="",B268="",D268="",E268=""),"COMPLETE ENTRY",IF(COUNTIFS(Inventory!$A$12:$A$61,B268)&lt;&gt;1,"CHECK ITEM CODE",IF(OR(NOT(ISNUMBER(A268)),A268&lt;=0),"CHECK DATE",IF(AND(D268&lt;&gt;"IN",D268&lt;&gt;"OUT"),"USE IN OR OUT",IF(OR(NOT(ISNUMBER(E268)),E268&lt;=0),"POSITIVE QTY NEEDED","OK"))))))</f>
        <v/>
      </c>
      <c r="I268" s="1"/>
      <c r="J268" s="1"/>
      <c r="K268" s="1"/>
    </row>
    <row r="269" spans="1:11" ht="24" customHeight="1">
      <c r="A269" s="7"/>
      <c r="B269" s="4"/>
      <c r="C269" s="1" t="str">
        <f>IF(B269="","",IF(COUNTIFS(Inventory!$A$12:$A$61,B269)=1,VLOOKUP(B269,Inventory!$A$12:$B$61,2,FALSE),"CHECK ITEM CODE"))</f>
        <v/>
      </c>
      <c r="D269" s="4"/>
      <c r="E269" s="8"/>
      <c r="F269" s="4"/>
      <c r="G269" s="4"/>
      <c r="H269" s="1" t="str">
        <f>IF(COUNTA(A269:B269,D269:G269)=0,"",IF(OR(A269="",B269="",D269="",E269=""),"COMPLETE ENTRY",IF(COUNTIFS(Inventory!$A$12:$A$61,B269)&lt;&gt;1,"CHECK ITEM CODE",IF(OR(NOT(ISNUMBER(A269)),A269&lt;=0),"CHECK DATE",IF(AND(D269&lt;&gt;"IN",D269&lt;&gt;"OUT"),"USE IN OR OUT",IF(OR(NOT(ISNUMBER(E269)),E269&lt;=0),"POSITIVE QTY NEEDED","OK"))))))</f>
        <v/>
      </c>
      <c r="I269" s="1"/>
      <c r="J269" s="1"/>
      <c r="K269" s="1"/>
    </row>
    <row r="270" spans="1:11" ht="24" customHeight="1">
      <c r="A270" s="7"/>
      <c r="B270" s="4"/>
      <c r="C270" s="1" t="str">
        <f>IF(B270="","",IF(COUNTIFS(Inventory!$A$12:$A$61,B270)=1,VLOOKUP(B270,Inventory!$A$12:$B$61,2,FALSE),"CHECK ITEM CODE"))</f>
        <v/>
      </c>
      <c r="D270" s="4"/>
      <c r="E270" s="8"/>
      <c r="F270" s="4"/>
      <c r="G270" s="4"/>
      <c r="H270" s="1" t="str">
        <f>IF(COUNTA(A270:B270,D270:G270)=0,"",IF(OR(A270="",B270="",D270="",E270=""),"COMPLETE ENTRY",IF(COUNTIFS(Inventory!$A$12:$A$61,B270)&lt;&gt;1,"CHECK ITEM CODE",IF(OR(NOT(ISNUMBER(A270)),A270&lt;=0),"CHECK DATE",IF(AND(D270&lt;&gt;"IN",D270&lt;&gt;"OUT"),"USE IN OR OUT",IF(OR(NOT(ISNUMBER(E270)),E270&lt;=0),"POSITIVE QTY NEEDED","OK"))))))</f>
        <v/>
      </c>
      <c r="I270" s="1"/>
      <c r="J270" s="1"/>
      <c r="K270" s="1"/>
    </row>
    <row r="271" spans="1:11" ht="24" customHeight="1">
      <c r="A271" s="7"/>
      <c r="B271" s="4"/>
      <c r="C271" s="1" t="str">
        <f>IF(B271="","",IF(COUNTIFS(Inventory!$A$12:$A$61,B271)=1,VLOOKUP(B271,Inventory!$A$12:$B$61,2,FALSE),"CHECK ITEM CODE"))</f>
        <v/>
      </c>
      <c r="D271" s="4"/>
      <c r="E271" s="8"/>
      <c r="F271" s="4"/>
      <c r="G271" s="4"/>
      <c r="H271" s="1" t="str">
        <f>IF(COUNTA(A271:B271,D271:G271)=0,"",IF(OR(A271="",B271="",D271="",E271=""),"COMPLETE ENTRY",IF(COUNTIFS(Inventory!$A$12:$A$61,B271)&lt;&gt;1,"CHECK ITEM CODE",IF(OR(NOT(ISNUMBER(A271)),A271&lt;=0),"CHECK DATE",IF(AND(D271&lt;&gt;"IN",D271&lt;&gt;"OUT"),"USE IN OR OUT",IF(OR(NOT(ISNUMBER(E271)),E271&lt;=0),"POSITIVE QTY NEEDED","OK"))))))</f>
        <v/>
      </c>
      <c r="I271" s="1"/>
      <c r="J271" s="1"/>
      <c r="K271" s="1"/>
    </row>
    <row r="272" spans="1:11" ht="24" customHeight="1">
      <c r="A272" s="7"/>
      <c r="B272" s="4"/>
      <c r="C272" s="1" t="str">
        <f>IF(B272="","",IF(COUNTIFS(Inventory!$A$12:$A$61,B272)=1,VLOOKUP(B272,Inventory!$A$12:$B$61,2,FALSE),"CHECK ITEM CODE"))</f>
        <v/>
      </c>
      <c r="D272" s="4"/>
      <c r="E272" s="8"/>
      <c r="F272" s="4"/>
      <c r="G272" s="4"/>
      <c r="H272" s="1" t="str">
        <f>IF(COUNTA(A272:B272,D272:G272)=0,"",IF(OR(A272="",B272="",D272="",E272=""),"COMPLETE ENTRY",IF(COUNTIFS(Inventory!$A$12:$A$61,B272)&lt;&gt;1,"CHECK ITEM CODE",IF(OR(NOT(ISNUMBER(A272)),A272&lt;=0),"CHECK DATE",IF(AND(D272&lt;&gt;"IN",D272&lt;&gt;"OUT"),"USE IN OR OUT",IF(OR(NOT(ISNUMBER(E272)),E272&lt;=0),"POSITIVE QTY NEEDED","OK"))))))</f>
        <v/>
      </c>
      <c r="I272" s="1"/>
      <c r="J272" s="1"/>
      <c r="K272" s="1"/>
    </row>
    <row r="273" spans="1:11" ht="24" customHeight="1">
      <c r="A273" s="7"/>
      <c r="B273" s="4"/>
      <c r="C273" s="1" t="str">
        <f>IF(B273="","",IF(COUNTIFS(Inventory!$A$12:$A$61,B273)=1,VLOOKUP(B273,Inventory!$A$12:$B$61,2,FALSE),"CHECK ITEM CODE"))</f>
        <v/>
      </c>
      <c r="D273" s="4"/>
      <c r="E273" s="8"/>
      <c r="F273" s="4"/>
      <c r="G273" s="4"/>
      <c r="H273" s="1" t="str">
        <f>IF(COUNTA(A273:B273,D273:G273)=0,"",IF(OR(A273="",B273="",D273="",E273=""),"COMPLETE ENTRY",IF(COUNTIFS(Inventory!$A$12:$A$61,B273)&lt;&gt;1,"CHECK ITEM CODE",IF(OR(NOT(ISNUMBER(A273)),A273&lt;=0),"CHECK DATE",IF(AND(D273&lt;&gt;"IN",D273&lt;&gt;"OUT"),"USE IN OR OUT",IF(OR(NOT(ISNUMBER(E273)),E273&lt;=0),"POSITIVE QTY NEEDED","OK"))))))</f>
        <v/>
      </c>
      <c r="I273" s="1"/>
      <c r="J273" s="1"/>
      <c r="K273" s="1"/>
    </row>
    <row r="274" spans="1:11" ht="24" customHeight="1">
      <c r="A274" s="7"/>
      <c r="B274" s="4"/>
      <c r="C274" s="1" t="str">
        <f>IF(B274="","",IF(COUNTIFS(Inventory!$A$12:$A$61,B274)=1,VLOOKUP(B274,Inventory!$A$12:$B$61,2,FALSE),"CHECK ITEM CODE"))</f>
        <v/>
      </c>
      <c r="D274" s="4"/>
      <c r="E274" s="8"/>
      <c r="F274" s="4"/>
      <c r="G274" s="4"/>
      <c r="H274" s="1" t="str">
        <f>IF(COUNTA(A274:B274,D274:G274)=0,"",IF(OR(A274="",B274="",D274="",E274=""),"COMPLETE ENTRY",IF(COUNTIFS(Inventory!$A$12:$A$61,B274)&lt;&gt;1,"CHECK ITEM CODE",IF(OR(NOT(ISNUMBER(A274)),A274&lt;=0),"CHECK DATE",IF(AND(D274&lt;&gt;"IN",D274&lt;&gt;"OUT"),"USE IN OR OUT",IF(OR(NOT(ISNUMBER(E274)),E274&lt;=0),"POSITIVE QTY NEEDED","OK"))))))</f>
        <v/>
      </c>
      <c r="I274" s="1"/>
      <c r="J274" s="1"/>
      <c r="K274" s="1"/>
    </row>
    <row r="275" spans="1:11" ht="24" customHeight="1">
      <c r="A275" s="7"/>
      <c r="B275" s="4"/>
      <c r="C275" s="1" t="str">
        <f>IF(B275="","",IF(COUNTIFS(Inventory!$A$12:$A$61,B275)=1,VLOOKUP(B275,Inventory!$A$12:$B$61,2,FALSE),"CHECK ITEM CODE"))</f>
        <v/>
      </c>
      <c r="D275" s="4"/>
      <c r="E275" s="8"/>
      <c r="F275" s="4"/>
      <c r="G275" s="4"/>
      <c r="H275" s="1" t="str">
        <f>IF(COUNTA(A275:B275,D275:G275)=0,"",IF(OR(A275="",B275="",D275="",E275=""),"COMPLETE ENTRY",IF(COUNTIFS(Inventory!$A$12:$A$61,B275)&lt;&gt;1,"CHECK ITEM CODE",IF(OR(NOT(ISNUMBER(A275)),A275&lt;=0),"CHECK DATE",IF(AND(D275&lt;&gt;"IN",D275&lt;&gt;"OUT"),"USE IN OR OUT",IF(OR(NOT(ISNUMBER(E275)),E275&lt;=0),"POSITIVE QTY NEEDED","OK"))))))</f>
        <v/>
      </c>
      <c r="I275" s="1"/>
      <c r="J275" s="1"/>
      <c r="K275" s="1"/>
    </row>
    <row r="276" spans="1:11" ht="24" customHeight="1">
      <c r="A276" s="7"/>
      <c r="B276" s="4"/>
      <c r="C276" s="1" t="str">
        <f>IF(B276="","",IF(COUNTIFS(Inventory!$A$12:$A$61,B276)=1,VLOOKUP(B276,Inventory!$A$12:$B$61,2,FALSE),"CHECK ITEM CODE"))</f>
        <v/>
      </c>
      <c r="D276" s="4"/>
      <c r="E276" s="8"/>
      <c r="F276" s="4"/>
      <c r="G276" s="4"/>
      <c r="H276" s="1" t="str">
        <f>IF(COUNTA(A276:B276,D276:G276)=0,"",IF(OR(A276="",B276="",D276="",E276=""),"COMPLETE ENTRY",IF(COUNTIFS(Inventory!$A$12:$A$61,B276)&lt;&gt;1,"CHECK ITEM CODE",IF(OR(NOT(ISNUMBER(A276)),A276&lt;=0),"CHECK DATE",IF(AND(D276&lt;&gt;"IN",D276&lt;&gt;"OUT"),"USE IN OR OUT",IF(OR(NOT(ISNUMBER(E276)),E276&lt;=0),"POSITIVE QTY NEEDED","OK"))))))</f>
        <v/>
      </c>
      <c r="I276" s="1"/>
      <c r="J276" s="1"/>
      <c r="K276" s="1"/>
    </row>
    <row r="277" spans="1:11" ht="24" customHeight="1">
      <c r="A277" s="7"/>
      <c r="B277" s="4"/>
      <c r="C277" s="1" t="str">
        <f>IF(B277="","",IF(COUNTIFS(Inventory!$A$12:$A$61,B277)=1,VLOOKUP(B277,Inventory!$A$12:$B$61,2,FALSE),"CHECK ITEM CODE"))</f>
        <v/>
      </c>
      <c r="D277" s="4"/>
      <c r="E277" s="8"/>
      <c r="F277" s="4"/>
      <c r="G277" s="4"/>
      <c r="H277" s="1" t="str">
        <f>IF(COUNTA(A277:B277,D277:G277)=0,"",IF(OR(A277="",B277="",D277="",E277=""),"COMPLETE ENTRY",IF(COUNTIFS(Inventory!$A$12:$A$61,B277)&lt;&gt;1,"CHECK ITEM CODE",IF(OR(NOT(ISNUMBER(A277)),A277&lt;=0),"CHECK DATE",IF(AND(D277&lt;&gt;"IN",D277&lt;&gt;"OUT"),"USE IN OR OUT",IF(OR(NOT(ISNUMBER(E277)),E277&lt;=0),"POSITIVE QTY NEEDED","OK"))))))</f>
        <v/>
      </c>
      <c r="I277" s="1"/>
      <c r="J277" s="1"/>
      <c r="K277" s="1"/>
    </row>
    <row r="278" spans="1:11" ht="24" customHeight="1">
      <c r="A278" s="7"/>
      <c r="B278" s="4"/>
      <c r="C278" s="1" t="str">
        <f>IF(B278="","",IF(COUNTIFS(Inventory!$A$12:$A$61,B278)=1,VLOOKUP(B278,Inventory!$A$12:$B$61,2,FALSE),"CHECK ITEM CODE"))</f>
        <v/>
      </c>
      <c r="D278" s="4"/>
      <c r="E278" s="8"/>
      <c r="F278" s="4"/>
      <c r="G278" s="4"/>
      <c r="H278" s="1" t="str">
        <f>IF(COUNTA(A278:B278,D278:G278)=0,"",IF(OR(A278="",B278="",D278="",E278=""),"COMPLETE ENTRY",IF(COUNTIFS(Inventory!$A$12:$A$61,B278)&lt;&gt;1,"CHECK ITEM CODE",IF(OR(NOT(ISNUMBER(A278)),A278&lt;=0),"CHECK DATE",IF(AND(D278&lt;&gt;"IN",D278&lt;&gt;"OUT"),"USE IN OR OUT",IF(OR(NOT(ISNUMBER(E278)),E278&lt;=0),"POSITIVE QTY NEEDED","OK"))))))</f>
        <v/>
      </c>
      <c r="I278" s="1"/>
      <c r="J278" s="1"/>
      <c r="K278" s="1"/>
    </row>
    <row r="279" spans="1:11" ht="24" customHeight="1">
      <c r="A279" s="7"/>
      <c r="B279" s="4"/>
      <c r="C279" s="1" t="str">
        <f>IF(B279="","",IF(COUNTIFS(Inventory!$A$12:$A$61,B279)=1,VLOOKUP(B279,Inventory!$A$12:$B$61,2,FALSE),"CHECK ITEM CODE"))</f>
        <v/>
      </c>
      <c r="D279" s="4"/>
      <c r="E279" s="8"/>
      <c r="F279" s="4"/>
      <c r="G279" s="4"/>
      <c r="H279" s="1" t="str">
        <f>IF(COUNTA(A279:B279,D279:G279)=0,"",IF(OR(A279="",B279="",D279="",E279=""),"COMPLETE ENTRY",IF(COUNTIFS(Inventory!$A$12:$A$61,B279)&lt;&gt;1,"CHECK ITEM CODE",IF(OR(NOT(ISNUMBER(A279)),A279&lt;=0),"CHECK DATE",IF(AND(D279&lt;&gt;"IN",D279&lt;&gt;"OUT"),"USE IN OR OUT",IF(OR(NOT(ISNUMBER(E279)),E279&lt;=0),"POSITIVE QTY NEEDED","OK"))))))</f>
        <v/>
      </c>
      <c r="I279" s="1"/>
      <c r="J279" s="1"/>
      <c r="K279" s="1"/>
    </row>
    <row r="280" spans="1:11" ht="24" customHeight="1">
      <c r="A280" s="7"/>
      <c r="B280" s="4"/>
      <c r="C280" s="1" t="str">
        <f>IF(B280="","",IF(COUNTIFS(Inventory!$A$12:$A$61,B280)=1,VLOOKUP(B280,Inventory!$A$12:$B$61,2,FALSE),"CHECK ITEM CODE"))</f>
        <v/>
      </c>
      <c r="D280" s="4"/>
      <c r="E280" s="8"/>
      <c r="F280" s="4"/>
      <c r="G280" s="4"/>
      <c r="H280" s="1" t="str">
        <f>IF(COUNTA(A280:B280,D280:G280)=0,"",IF(OR(A280="",B280="",D280="",E280=""),"COMPLETE ENTRY",IF(COUNTIFS(Inventory!$A$12:$A$61,B280)&lt;&gt;1,"CHECK ITEM CODE",IF(OR(NOT(ISNUMBER(A280)),A280&lt;=0),"CHECK DATE",IF(AND(D280&lt;&gt;"IN",D280&lt;&gt;"OUT"),"USE IN OR OUT",IF(OR(NOT(ISNUMBER(E280)),E280&lt;=0),"POSITIVE QTY NEEDED","OK"))))))</f>
        <v/>
      </c>
      <c r="I280" s="1"/>
      <c r="J280" s="1"/>
      <c r="K280" s="1"/>
    </row>
    <row r="281" spans="1:11" ht="24" customHeight="1">
      <c r="A281" s="7"/>
      <c r="B281" s="4"/>
      <c r="C281" s="1" t="str">
        <f>IF(B281="","",IF(COUNTIFS(Inventory!$A$12:$A$61,B281)=1,VLOOKUP(B281,Inventory!$A$12:$B$61,2,FALSE),"CHECK ITEM CODE"))</f>
        <v/>
      </c>
      <c r="D281" s="4"/>
      <c r="E281" s="8"/>
      <c r="F281" s="4"/>
      <c r="G281" s="4"/>
      <c r="H281" s="1" t="str">
        <f>IF(COUNTA(A281:B281,D281:G281)=0,"",IF(OR(A281="",B281="",D281="",E281=""),"COMPLETE ENTRY",IF(COUNTIFS(Inventory!$A$12:$A$61,B281)&lt;&gt;1,"CHECK ITEM CODE",IF(OR(NOT(ISNUMBER(A281)),A281&lt;=0),"CHECK DATE",IF(AND(D281&lt;&gt;"IN",D281&lt;&gt;"OUT"),"USE IN OR OUT",IF(OR(NOT(ISNUMBER(E281)),E281&lt;=0),"POSITIVE QTY NEEDED","OK"))))))</f>
        <v/>
      </c>
      <c r="I281" s="1"/>
      <c r="J281" s="1"/>
      <c r="K281" s="1"/>
    </row>
    <row r="282" spans="1:11" ht="24" customHeight="1">
      <c r="A282" s="7"/>
      <c r="B282" s="4"/>
      <c r="C282" s="1" t="str">
        <f>IF(B282="","",IF(COUNTIFS(Inventory!$A$12:$A$61,B282)=1,VLOOKUP(B282,Inventory!$A$12:$B$61,2,FALSE),"CHECK ITEM CODE"))</f>
        <v/>
      </c>
      <c r="D282" s="4"/>
      <c r="E282" s="8"/>
      <c r="F282" s="4"/>
      <c r="G282" s="4"/>
      <c r="H282" s="1" t="str">
        <f>IF(COUNTA(A282:B282,D282:G282)=0,"",IF(OR(A282="",B282="",D282="",E282=""),"COMPLETE ENTRY",IF(COUNTIFS(Inventory!$A$12:$A$61,B282)&lt;&gt;1,"CHECK ITEM CODE",IF(OR(NOT(ISNUMBER(A282)),A282&lt;=0),"CHECK DATE",IF(AND(D282&lt;&gt;"IN",D282&lt;&gt;"OUT"),"USE IN OR OUT",IF(OR(NOT(ISNUMBER(E282)),E282&lt;=0),"POSITIVE QTY NEEDED","OK"))))))</f>
        <v/>
      </c>
      <c r="I282" s="1"/>
      <c r="J282" s="1"/>
      <c r="K282" s="1"/>
    </row>
    <row r="283" spans="1:11" ht="24" customHeight="1">
      <c r="A283" s="7"/>
      <c r="B283" s="4"/>
      <c r="C283" s="1" t="str">
        <f>IF(B283="","",IF(COUNTIFS(Inventory!$A$12:$A$61,B283)=1,VLOOKUP(B283,Inventory!$A$12:$B$61,2,FALSE),"CHECK ITEM CODE"))</f>
        <v/>
      </c>
      <c r="D283" s="4"/>
      <c r="E283" s="8"/>
      <c r="F283" s="4"/>
      <c r="G283" s="4"/>
      <c r="H283" s="1" t="str">
        <f>IF(COUNTA(A283:B283,D283:G283)=0,"",IF(OR(A283="",B283="",D283="",E283=""),"COMPLETE ENTRY",IF(COUNTIFS(Inventory!$A$12:$A$61,B283)&lt;&gt;1,"CHECK ITEM CODE",IF(OR(NOT(ISNUMBER(A283)),A283&lt;=0),"CHECK DATE",IF(AND(D283&lt;&gt;"IN",D283&lt;&gt;"OUT"),"USE IN OR OUT",IF(OR(NOT(ISNUMBER(E283)),E283&lt;=0),"POSITIVE QTY NEEDED","OK"))))))</f>
        <v/>
      </c>
      <c r="I283" s="1"/>
      <c r="J283" s="1"/>
      <c r="K283" s="1"/>
    </row>
    <row r="284" spans="1:11" ht="24" customHeight="1">
      <c r="A284" s="7"/>
      <c r="B284" s="4"/>
      <c r="C284" s="1" t="str">
        <f>IF(B284="","",IF(COUNTIFS(Inventory!$A$12:$A$61,B284)=1,VLOOKUP(B284,Inventory!$A$12:$B$61,2,FALSE),"CHECK ITEM CODE"))</f>
        <v/>
      </c>
      <c r="D284" s="4"/>
      <c r="E284" s="8"/>
      <c r="F284" s="4"/>
      <c r="G284" s="4"/>
      <c r="H284" s="1" t="str">
        <f>IF(COUNTA(A284:B284,D284:G284)=0,"",IF(OR(A284="",B284="",D284="",E284=""),"COMPLETE ENTRY",IF(COUNTIFS(Inventory!$A$12:$A$61,B284)&lt;&gt;1,"CHECK ITEM CODE",IF(OR(NOT(ISNUMBER(A284)),A284&lt;=0),"CHECK DATE",IF(AND(D284&lt;&gt;"IN",D284&lt;&gt;"OUT"),"USE IN OR OUT",IF(OR(NOT(ISNUMBER(E284)),E284&lt;=0),"POSITIVE QTY NEEDED","OK"))))))</f>
        <v/>
      </c>
      <c r="I284" s="1"/>
      <c r="J284" s="1"/>
      <c r="K284" s="1"/>
    </row>
    <row r="285" spans="1:11" ht="24" customHeight="1">
      <c r="A285" s="7"/>
      <c r="B285" s="4"/>
      <c r="C285" s="1" t="str">
        <f>IF(B285="","",IF(COUNTIFS(Inventory!$A$12:$A$61,B285)=1,VLOOKUP(B285,Inventory!$A$12:$B$61,2,FALSE),"CHECK ITEM CODE"))</f>
        <v/>
      </c>
      <c r="D285" s="4"/>
      <c r="E285" s="8"/>
      <c r="F285" s="4"/>
      <c r="G285" s="4"/>
      <c r="H285" s="1" t="str">
        <f>IF(COUNTA(A285:B285,D285:G285)=0,"",IF(OR(A285="",B285="",D285="",E285=""),"COMPLETE ENTRY",IF(COUNTIFS(Inventory!$A$12:$A$61,B285)&lt;&gt;1,"CHECK ITEM CODE",IF(OR(NOT(ISNUMBER(A285)),A285&lt;=0),"CHECK DATE",IF(AND(D285&lt;&gt;"IN",D285&lt;&gt;"OUT"),"USE IN OR OUT",IF(OR(NOT(ISNUMBER(E285)),E285&lt;=0),"POSITIVE QTY NEEDED","OK"))))))</f>
        <v/>
      </c>
      <c r="I285" s="1"/>
      <c r="J285" s="1"/>
      <c r="K285" s="1"/>
    </row>
    <row r="286" spans="1:11" ht="24" customHeight="1">
      <c r="A286" s="7"/>
      <c r="B286" s="4"/>
      <c r="C286" s="1" t="str">
        <f>IF(B286="","",IF(COUNTIFS(Inventory!$A$12:$A$61,B286)=1,VLOOKUP(B286,Inventory!$A$12:$B$61,2,FALSE),"CHECK ITEM CODE"))</f>
        <v/>
      </c>
      <c r="D286" s="4"/>
      <c r="E286" s="8"/>
      <c r="F286" s="4"/>
      <c r="G286" s="4"/>
      <c r="H286" s="1" t="str">
        <f>IF(COUNTA(A286:B286,D286:G286)=0,"",IF(OR(A286="",B286="",D286="",E286=""),"COMPLETE ENTRY",IF(COUNTIFS(Inventory!$A$12:$A$61,B286)&lt;&gt;1,"CHECK ITEM CODE",IF(OR(NOT(ISNUMBER(A286)),A286&lt;=0),"CHECK DATE",IF(AND(D286&lt;&gt;"IN",D286&lt;&gt;"OUT"),"USE IN OR OUT",IF(OR(NOT(ISNUMBER(E286)),E286&lt;=0),"POSITIVE QTY NEEDED","OK"))))))</f>
        <v/>
      </c>
      <c r="I286" s="1"/>
      <c r="J286" s="1"/>
      <c r="K286" s="1"/>
    </row>
    <row r="287" spans="1:11" ht="24" customHeight="1">
      <c r="A287" s="7"/>
      <c r="B287" s="4"/>
      <c r="C287" s="1" t="str">
        <f>IF(B287="","",IF(COUNTIFS(Inventory!$A$12:$A$61,B287)=1,VLOOKUP(B287,Inventory!$A$12:$B$61,2,FALSE),"CHECK ITEM CODE"))</f>
        <v/>
      </c>
      <c r="D287" s="4"/>
      <c r="E287" s="8"/>
      <c r="F287" s="4"/>
      <c r="G287" s="4"/>
      <c r="H287" s="1" t="str">
        <f>IF(COUNTA(A287:B287,D287:G287)=0,"",IF(OR(A287="",B287="",D287="",E287=""),"COMPLETE ENTRY",IF(COUNTIFS(Inventory!$A$12:$A$61,B287)&lt;&gt;1,"CHECK ITEM CODE",IF(OR(NOT(ISNUMBER(A287)),A287&lt;=0),"CHECK DATE",IF(AND(D287&lt;&gt;"IN",D287&lt;&gt;"OUT"),"USE IN OR OUT",IF(OR(NOT(ISNUMBER(E287)),E287&lt;=0),"POSITIVE QTY NEEDED","OK"))))))</f>
        <v/>
      </c>
      <c r="I287" s="1"/>
      <c r="J287" s="1"/>
      <c r="K287" s="1"/>
    </row>
    <row r="288" spans="1:11" ht="24" customHeight="1">
      <c r="A288" s="7"/>
      <c r="B288" s="4"/>
      <c r="C288" s="1" t="str">
        <f>IF(B288="","",IF(COUNTIFS(Inventory!$A$12:$A$61,B288)=1,VLOOKUP(B288,Inventory!$A$12:$B$61,2,FALSE),"CHECK ITEM CODE"))</f>
        <v/>
      </c>
      <c r="D288" s="4"/>
      <c r="E288" s="8"/>
      <c r="F288" s="4"/>
      <c r="G288" s="4"/>
      <c r="H288" s="1" t="str">
        <f>IF(COUNTA(A288:B288,D288:G288)=0,"",IF(OR(A288="",B288="",D288="",E288=""),"COMPLETE ENTRY",IF(COUNTIFS(Inventory!$A$12:$A$61,B288)&lt;&gt;1,"CHECK ITEM CODE",IF(OR(NOT(ISNUMBER(A288)),A288&lt;=0),"CHECK DATE",IF(AND(D288&lt;&gt;"IN",D288&lt;&gt;"OUT"),"USE IN OR OUT",IF(OR(NOT(ISNUMBER(E288)),E288&lt;=0),"POSITIVE QTY NEEDED","OK"))))))</f>
        <v/>
      </c>
      <c r="I288" s="1"/>
      <c r="J288" s="1"/>
      <c r="K288" s="1"/>
    </row>
    <row r="289" spans="1:11" ht="24" customHeight="1">
      <c r="A289" s="7"/>
      <c r="B289" s="4"/>
      <c r="C289" s="1" t="str">
        <f>IF(B289="","",IF(COUNTIFS(Inventory!$A$12:$A$61,B289)=1,VLOOKUP(B289,Inventory!$A$12:$B$61,2,FALSE),"CHECK ITEM CODE"))</f>
        <v/>
      </c>
      <c r="D289" s="4"/>
      <c r="E289" s="8"/>
      <c r="F289" s="4"/>
      <c r="G289" s="4"/>
      <c r="H289" s="1" t="str">
        <f>IF(COUNTA(A289:B289,D289:G289)=0,"",IF(OR(A289="",B289="",D289="",E289=""),"COMPLETE ENTRY",IF(COUNTIFS(Inventory!$A$12:$A$61,B289)&lt;&gt;1,"CHECK ITEM CODE",IF(OR(NOT(ISNUMBER(A289)),A289&lt;=0),"CHECK DATE",IF(AND(D289&lt;&gt;"IN",D289&lt;&gt;"OUT"),"USE IN OR OUT",IF(OR(NOT(ISNUMBER(E289)),E289&lt;=0),"POSITIVE QTY NEEDED","OK"))))))</f>
        <v/>
      </c>
      <c r="I289" s="1"/>
      <c r="J289" s="1"/>
      <c r="K289" s="1"/>
    </row>
    <row r="290" spans="1:11" ht="24" customHeight="1">
      <c r="A290" s="7"/>
      <c r="B290" s="4"/>
      <c r="C290" s="1" t="str">
        <f>IF(B290="","",IF(COUNTIFS(Inventory!$A$12:$A$61,B290)=1,VLOOKUP(B290,Inventory!$A$12:$B$61,2,FALSE),"CHECK ITEM CODE"))</f>
        <v/>
      </c>
      <c r="D290" s="4"/>
      <c r="E290" s="8"/>
      <c r="F290" s="4"/>
      <c r="G290" s="4"/>
      <c r="H290" s="1" t="str">
        <f>IF(COUNTA(A290:B290,D290:G290)=0,"",IF(OR(A290="",B290="",D290="",E290=""),"COMPLETE ENTRY",IF(COUNTIFS(Inventory!$A$12:$A$61,B290)&lt;&gt;1,"CHECK ITEM CODE",IF(OR(NOT(ISNUMBER(A290)),A290&lt;=0),"CHECK DATE",IF(AND(D290&lt;&gt;"IN",D290&lt;&gt;"OUT"),"USE IN OR OUT",IF(OR(NOT(ISNUMBER(E290)),E290&lt;=0),"POSITIVE QTY NEEDED","OK"))))))</f>
        <v/>
      </c>
      <c r="I290" s="1"/>
      <c r="J290" s="1"/>
      <c r="K290" s="1"/>
    </row>
    <row r="291" spans="1:11" ht="24" customHeight="1">
      <c r="A291" s="7"/>
      <c r="B291" s="4"/>
      <c r="C291" s="1" t="str">
        <f>IF(B291="","",IF(COUNTIFS(Inventory!$A$12:$A$61,B291)=1,VLOOKUP(B291,Inventory!$A$12:$B$61,2,FALSE),"CHECK ITEM CODE"))</f>
        <v/>
      </c>
      <c r="D291" s="4"/>
      <c r="E291" s="8"/>
      <c r="F291" s="4"/>
      <c r="G291" s="4"/>
      <c r="H291" s="1" t="str">
        <f>IF(COUNTA(A291:B291,D291:G291)=0,"",IF(OR(A291="",B291="",D291="",E291=""),"COMPLETE ENTRY",IF(COUNTIFS(Inventory!$A$12:$A$61,B291)&lt;&gt;1,"CHECK ITEM CODE",IF(OR(NOT(ISNUMBER(A291)),A291&lt;=0),"CHECK DATE",IF(AND(D291&lt;&gt;"IN",D291&lt;&gt;"OUT"),"USE IN OR OUT",IF(OR(NOT(ISNUMBER(E291)),E291&lt;=0),"POSITIVE QTY NEEDED","OK"))))))</f>
        <v/>
      </c>
      <c r="I291" s="1"/>
      <c r="J291" s="1"/>
      <c r="K291" s="1"/>
    </row>
    <row r="292" spans="1:11" ht="24" customHeight="1">
      <c r="A292" s="7"/>
      <c r="B292" s="4"/>
      <c r="C292" s="1" t="str">
        <f>IF(B292="","",IF(COUNTIFS(Inventory!$A$12:$A$61,B292)=1,VLOOKUP(B292,Inventory!$A$12:$B$61,2,FALSE),"CHECK ITEM CODE"))</f>
        <v/>
      </c>
      <c r="D292" s="4"/>
      <c r="E292" s="8"/>
      <c r="F292" s="4"/>
      <c r="G292" s="4"/>
      <c r="H292" s="1" t="str">
        <f>IF(COUNTA(A292:B292,D292:G292)=0,"",IF(OR(A292="",B292="",D292="",E292=""),"COMPLETE ENTRY",IF(COUNTIFS(Inventory!$A$12:$A$61,B292)&lt;&gt;1,"CHECK ITEM CODE",IF(OR(NOT(ISNUMBER(A292)),A292&lt;=0),"CHECK DATE",IF(AND(D292&lt;&gt;"IN",D292&lt;&gt;"OUT"),"USE IN OR OUT",IF(OR(NOT(ISNUMBER(E292)),E292&lt;=0),"POSITIVE QTY NEEDED","OK"))))))</f>
        <v/>
      </c>
      <c r="I292" s="1"/>
      <c r="J292" s="1"/>
      <c r="K292" s="1"/>
    </row>
    <row r="293" spans="1:11" ht="24" customHeight="1">
      <c r="A293" s="7"/>
      <c r="B293" s="4"/>
      <c r="C293" s="1" t="str">
        <f>IF(B293="","",IF(COUNTIFS(Inventory!$A$12:$A$61,B293)=1,VLOOKUP(B293,Inventory!$A$12:$B$61,2,FALSE),"CHECK ITEM CODE"))</f>
        <v/>
      </c>
      <c r="D293" s="4"/>
      <c r="E293" s="8"/>
      <c r="F293" s="4"/>
      <c r="G293" s="4"/>
      <c r="H293" s="1" t="str">
        <f>IF(COUNTA(A293:B293,D293:G293)=0,"",IF(OR(A293="",B293="",D293="",E293=""),"COMPLETE ENTRY",IF(COUNTIFS(Inventory!$A$12:$A$61,B293)&lt;&gt;1,"CHECK ITEM CODE",IF(OR(NOT(ISNUMBER(A293)),A293&lt;=0),"CHECK DATE",IF(AND(D293&lt;&gt;"IN",D293&lt;&gt;"OUT"),"USE IN OR OUT",IF(OR(NOT(ISNUMBER(E293)),E293&lt;=0),"POSITIVE QTY NEEDED","OK"))))))</f>
        <v/>
      </c>
      <c r="I293" s="1"/>
      <c r="J293" s="1"/>
      <c r="K293" s="1"/>
    </row>
    <row r="294" spans="1:11" ht="24" customHeight="1">
      <c r="A294" s="7"/>
      <c r="B294" s="4"/>
      <c r="C294" s="1" t="str">
        <f>IF(B294="","",IF(COUNTIFS(Inventory!$A$12:$A$61,B294)=1,VLOOKUP(B294,Inventory!$A$12:$B$61,2,FALSE),"CHECK ITEM CODE"))</f>
        <v/>
      </c>
      <c r="D294" s="4"/>
      <c r="E294" s="8"/>
      <c r="F294" s="4"/>
      <c r="G294" s="4"/>
      <c r="H294" s="1" t="str">
        <f>IF(COUNTA(A294:B294,D294:G294)=0,"",IF(OR(A294="",B294="",D294="",E294=""),"COMPLETE ENTRY",IF(COUNTIFS(Inventory!$A$12:$A$61,B294)&lt;&gt;1,"CHECK ITEM CODE",IF(OR(NOT(ISNUMBER(A294)),A294&lt;=0),"CHECK DATE",IF(AND(D294&lt;&gt;"IN",D294&lt;&gt;"OUT"),"USE IN OR OUT",IF(OR(NOT(ISNUMBER(E294)),E294&lt;=0),"POSITIVE QTY NEEDED","OK"))))))</f>
        <v/>
      </c>
      <c r="I294" s="1"/>
      <c r="J294" s="1"/>
      <c r="K294" s="1"/>
    </row>
    <row r="295" spans="1:11" ht="24" customHeight="1">
      <c r="A295" s="7"/>
      <c r="B295" s="4"/>
      <c r="C295" s="1" t="str">
        <f>IF(B295="","",IF(COUNTIFS(Inventory!$A$12:$A$61,B295)=1,VLOOKUP(B295,Inventory!$A$12:$B$61,2,FALSE),"CHECK ITEM CODE"))</f>
        <v/>
      </c>
      <c r="D295" s="4"/>
      <c r="E295" s="8"/>
      <c r="F295" s="4"/>
      <c r="G295" s="4"/>
      <c r="H295" s="1" t="str">
        <f>IF(COUNTA(A295:B295,D295:G295)=0,"",IF(OR(A295="",B295="",D295="",E295=""),"COMPLETE ENTRY",IF(COUNTIFS(Inventory!$A$12:$A$61,B295)&lt;&gt;1,"CHECK ITEM CODE",IF(OR(NOT(ISNUMBER(A295)),A295&lt;=0),"CHECK DATE",IF(AND(D295&lt;&gt;"IN",D295&lt;&gt;"OUT"),"USE IN OR OUT",IF(OR(NOT(ISNUMBER(E295)),E295&lt;=0),"POSITIVE QTY NEEDED","OK"))))))</f>
        <v/>
      </c>
      <c r="I295" s="1"/>
      <c r="J295" s="1"/>
      <c r="K295" s="1"/>
    </row>
    <row r="296" spans="1:11" ht="24" customHeight="1">
      <c r="A296" s="7"/>
      <c r="B296" s="4"/>
      <c r="C296" s="1" t="str">
        <f>IF(B296="","",IF(COUNTIFS(Inventory!$A$12:$A$61,B296)=1,VLOOKUP(B296,Inventory!$A$12:$B$61,2,FALSE),"CHECK ITEM CODE"))</f>
        <v/>
      </c>
      <c r="D296" s="4"/>
      <c r="E296" s="8"/>
      <c r="F296" s="4"/>
      <c r="G296" s="4"/>
      <c r="H296" s="1" t="str">
        <f>IF(COUNTA(A296:B296,D296:G296)=0,"",IF(OR(A296="",B296="",D296="",E296=""),"COMPLETE ENTRY",IF(COUNTIFS(Inventory!$A$12:$A$61,B296)&lt;&gt;1,"CHECK ITEM CODE",IF(OR(NOT(ISNUMBER(A296)),A296&lt;=0),"CHECK DATE",IF(AND(D296&lt;&gt;"IN",D296&lt;&gt;"OUT"),"USE IN OR OUT",IF(OR(NOT(ISNUMBER(E296)),E296&lt;=0),"POSITIVE QTY NEEDED","OK"))))))</f>
        <v/>
      </c>
      <c r="I296" s="1"/>
      <c r="J296" s="1"/>
      <c r="K296" s="1"/>
    </row>
    <row r="297" spans="1:11" ht="24" customHeight="1">
      <c r="A297" s="7"/>
      <c r="B297" s="4"/>
      <c r="C297" s="1" t="str">
        <f>IF(B297="","",IF(COUNTIFS(Inventory!$A$12:$A$61,B297)=1,VLOOKUP(B297,Inventory!$A$12:$B$61,2,FALSE),"CHECK ITEM CODE"))</f>
        <v/>
      </c>
      <c r="D297" s="4"/>
      <c r="E297" s="8"/>
      <c r="F297" s="4"/>
      <c r="G297" s="4"/>
      <c r="H297" s="1" t="str">
        <f>IF(COUNTA(A297:B297,D297:G297)=0,"",IF(OR(A297="",B297="",D297="",E297=""),"COMPLETE ENTRY",IF(COUNTIFS(Inventory!$A$12:$A$61,B297)&lt;&gt;1,"CHECK ITEM CODE",IF(OR(NOT(ISNUMBER(A297)),A297&lt;=0),"CHECK DATE",IF(AND(D297&lt;&gt;"IN",D297&lt;&gt;"OUT"),"USE IN OR OUT",IF(OR(NOT(ISNUMBER(E297)),E297&lt;=0),"POSITIVE QTY NEEDED","OK"))))))</f>
        <v/>
      </c>
      <c r="I297" s="1"/>
      <c r="J297" s="1"/>
      <c r="K297" s="1"/>
    </row>
    <row r="298" spans="1:11" ht="24" customHeight="1">
      <c r="A298" s="7"/>
      <c r="B298" s="4"/>
      <c r="C298" s="1" t="str">
        <f>IF(B298="","",IF(COUNTIFS(Inventory!$A$12:$A$61,B298)=1,VLOOKUP(B298,Inventory!$A$12:$B$61,2,FALSE),"CHECK ITEM CODE"))</f>
        <v/>
      </c>
      <c r="D298" s="4"/>
      <c r="E298" s="8"/>
      <c r="F298" s="4"/>
      <c r="G298" s="4"/>
      <c r="H298" s="1" t="str">
        <f>IF(COUNTA(A298:B298,D298:G298)=0,"",IF(OR(A298="",B298="",D298="",E298=""),"COMPLETE ENTRY",IF(COUNTIFS(Inventory!$A$12:$A$61,B298)&lt;&gt;1,"CHECK ITEM CODE",IF(OR(NOT(ISNUMBER(A298)),A298&lt;=0),"CHECK DATE",IF(AND(D298&lt;&gt;"IN",D298&lt;&gt;"OUT"),"USE IN OR OUT",IF(OR(NOT(ISNUMBER(E298)),E298&lt;=0),"POSITIVE QTY NEEDED","OK"))))))</f>
        <v/>
      </c>
      <c r="I298" s="1"/>
      <c r="J298" s="1"/>
      <c r="K298" s="1"/>
    </row>
    <row r="299" spans="1:11" ht="24" customHeight="1">
      <c r="A299" s="7"/>
      <c r="B299" s="4"/>
      <c r="C299" s="1" t="str">
        <f>IF(B299="","",IF(COUNTIFS(Inventory!$A$12:$A$61,B299)=1,VLOOKUP(B299,Inventory!$A$12:$B$61,2,FALSE),"CHECK ITEM CODE"))</f>
        <v/>
      </c>
      <c r="D299" s="4"/>
      <c r="E299" s="8"/>
      <c r="F299" s="4"/>
      <c r="G299" s="4"/>
      <c r="H299" s="1" t="str">
        <f>IF(COUNTA(A299:B299,D299:G299)=0,"",IF(OR(A299="",B299="",D299="",E299=""),"COMPLETE ENTRY",IF(COUNTIFS(Inventory!$A$12:$A$61,B299)&lt;&gt;1,"CHECK ITEM CODE",IF(OR(NOT(ISNUMBER(A299)),A299&lt;=0),"CHECK DATE",IF(AND(D299&lt;&gt;"IN",D299&lt;&gt;"OUT"),"USE IN OR OUT",IF(OR(NOT(ISNUMBER(E299)),E299&lt;=0),"POSITIVE QTY NEEDED","OK"))))))</f>
        <v/>
      </c>
      <c r="I299" s="1"/>
      <c r="J299" s="1"/>
      <c r="K299" s="1"/>
    </row>
    <row r="300" spans="1:11" ht="24" customHeight="1">
      <c r="A300" s="7"/>
      <c r="B300" s="4"/>
      <c r="C300" s="1" t="str">
        <f>IF(B300="","",IF(COUNTIFS(Inventory!$A$12:$A$61,B300)=1,VLOOKUP(B300,Inventory!$A$12:$B$61,2,FALSE),"CHECK ITEM CODE"))</f>
        <v/>
      </c>
      <c r="D300" s="4"/>
      <c r="E300" s="8"/>
      <c r="F300" s="4"/>
      <c r="G300" s="4"/>
      <c r="H300" s="1" t="str">
        <f>IF(COUNTA(A300:B300,D300:G300)=0,"",IF(OR(A300="",B300="",D300="",E300=""),"COMPLETE ENTRY",IF(COUNTIFS(Inventory!$A$12:$A$61,B300)&lt;&gt;1,"CHECK ITEM CODE",IF(OR(NOT(ISNUMBER(A300)),A300&lt;=0),"CHECK DATE",IF(AND(D300&lt;&gt;"IN",D300&lt;&gt;"OUT"),"USE IN OR OUT",IF(OR(NOT(ISNUMBER(E300)),E300&lt;=0),"POSITIVE QTY NEEDED","OK"))))))</f>
        <v/>
      </c>
      <c r="I300" s="1"/>
      <c r="J300" s="1"/>
      <c r="K300" s="1"/>
    </row>
    <row r="301" spans="1:11" ht="24" customHeight="1">
      <c r="A301" s="7"/>
      <c r="B301" s="4"/>
      <c r="C301" s="1" t="str">
        <f>IF(B301="","",IF(COUNTIFS(Inventory!$A$12:$A$61,B301)=1,VLOOKUP(B301,Inventory!$A$12:$B$61,2,FALSE),"CHECK ITEM CODE"))</f>
        <v/>
      </c>
      <c r="D301" s="4"/>
      <c r="E301" s="8"/>
      <c r="F301" s="4"/>
      <c r="G301" s="4"/>
      <c r="H301" s="1" t="str">
        <f>IF(COUNTA(A301:B301,D301:G301)=0,"",IF(OR(A301="",B301="",D301="",E301=""),"COMPLETE ENTRY",IF(COUNTIFS(Inventory!$A$12:$A$61,B301)&lt;&gt;1,"CHECK ITEM CODE",IF(OR(NOT(ISNUMBER(A301)),A301&lt;=0),"CHECK DATE",IF(AND(D301&lt;&gt;"IN",D301&lt;&gt;"OUT"),"USE IN OR OUT",IF(OR(NOT(ISNUMBER(E301)),E301&lt;=0),"POSITIVE QTY NEEDED","OK"))))))</f>
        <v/>
      </c>
      <c r="I301" s="1"/>
      <c r="J301" s="1"/>
      <c r="K301" s="1"/>
    </row>
    <row r="302" spans="1:11" ht="24" customHeight="1">
      <c r="A302" s="7"/>
      <c r="B302" s="4"/>
      <c r="C302" s="1" t="str">
        <f>IF(B302="","",IF(COUNTIFS(Inventory!$A$12:$A$61,B302)=1,VLOOKUP(B302,Inventory!$A$12:$B$61,2,FALSE),"CHECK ITEM CODE"))</f>
        <v/>
      </c>
      <c r="D302" s="4"/>
      <c r="E302" s="8"/>
      <c r="F302" s="4"/>
      <c r="G302" s="4"/>
      <c r="H302" s="1" t="str">
        <f>IF(COUNTA(A302:B302,D302:G302)=0,"",IF(OR(A302="",B302="",D302="",E302=""),"COMPLETE ENTRY",IF(COUNTIFS(Inventory!$A$12:$A$61,B302)&lt;&gt;1,"CHECK ITEM CODE",IF(OR(NOT(ISNUMBER(A302)),A302&lt;=0),"CHECK DATE",IF(AND(D302&lt;&gt;"IN",D302&lt;&gt;"OUT"),"USE IN OR OUT",IF(OR(NOT(ISNUMBER(E302)),E302&lt;=0),"POSITIVE QTY NEEDED","OK"))))))</f>
        <v/>
      </c>
      <c r="I302" s="1"/>
      <c r="J302" s="1"/>
      <c r="K302" s="1"/>
    </row>
    <row r="303" spans="1:11" ht="24" customHeight="1">
      <c r="A303" s="7"/>
      <c r="B303" s="4"/>
      <c r="C303" s="1" t="str">
        <f>IF(B303="","",IF(COUNTIFS(Inventory!$A$12:$A$61,B303)=1,VLOOKUP(B303,Inventory!$A$12:$B$61,2,FALSE),"CHECK ITEM CODE"))</f>
        <v/>
      </c>
      <c r="D303" s="4"/>
      <c r="E303" s="8"/>
      <c r="F303" s="4"/>
      <c r="G303" s="4"/>
      <c r="H303" s="1" t="str">
        <f>IF(COUNTA(A303:B303,D303:G303)=0,"",IF(OR(A303="",B303="",D303="",E303=""),"COMPLETE ENTRY",IF(COUNTIFS(Inventory!$A$12:$A$61,B303)&lt;&gt;1,"CHECK ITEM CODE",IF(OR(NOT(ISNUMBER(A303)),A303&lt;=0),"CHECK DATE",IF(AND(D303&lt;&gt;"IN",D303&lt;&gt;"OUT"),"USE IN OR OUT",IF(OR(NOT(ISNUMBER(E303)),E303&lt;=0),"POSITIVE QTY NEEDED","OK"))))))</f>
        <v/>
      </c>
      <c r="I303" s="1"/>
      <c r="J303" s="1"/>
      <c r="K303" s="1"/>
    </row>
    <row r="304" spans="1:11" ht="24" customHeight="1">
      <c r="A304" s="7"/>
      <c r="B304" s="4"/>
      <c r="C304" s="1" t="str">
        <f>IF(B304="","",IF(COUNTIFS(Inventory!$A$12:$A$61,B304)=1,VLOOKUP(B304,Inventory!$A$12:$B$61,2,FALSE),"CHECK ITEM CODE"))</f>
        <v/>
      </c>
      <c r="D304" s="4"/>
      <c r="E304" s="8"/>
      <c r="F304" s="4"/>
      <c r="G304" s="4"/>
      <c r="H304" s="1" t="str">
        <f>IF(COUNTA(A304:B304,D304:G304)=0,"",IF(OR(A304="",B304="",D304="",E304=""),"COMPLETE ENTRY",IF(COUNTIFS(Inventory!$A$12:$A$61,B304)&lt;&gt;1,"CHECK ITEM CODE",IF(OR(NOT(ISNUMBER(A304)),A304&lt;=0),"CHECK DATE",IF(AND(D304&lt;&gt;"IN",D304&lt;&gt;"OUT"),"USE IN OR OUT",IF(OR(NOT(ISNUMBER(E304)),E304&lt;=0),"POSITIVE QTY NEEDED","OK"))))))</f>
        <v/>
      </c>
      <c r="I304" s="1"/>
      <c r="J304" s="1"/>
      <c r="K304" s="1"/>
    </row>
    <row r="305" spans="1:11" ht="24" customHeight="1">
      <c r="A305" s="7"/>
      <c r="B305" s="4"/>
      <c r="C305" s="1" t="str">
        <f>IF(B305="","",IF(COUNTIFS(Inventory!$A$12:$A$61,B305)=1,VLOOKUP(B305,Inventory!$A$12:$B$61,2,FALSE),"CHECK ITEM CODE"))</f>
        <v/>
      </c>
      <c r="D305" s="4"/>
      <c r="E305" s="8"/>
      <c r="F305" s="4"/>
      <c r="G305" s="4"/>
      <c r="H305" s="1" t="str">
        <f>IF(COUNTA(A305:B305,D305:G305)=0,"",IF(OR(A305="",B305="",D305="",E305=""),"COMPLETE ENTRY",IF(COUNTIFS(Inventory!$A$12:$A$61,B305)&lt;&gt;1,"CHECK ITEM CODE",IF(OR(NOT(ISNUMBER(A305)),A305&lt;=0),"CHECK DATE",IF(AND(D305&lt;&gt;"IN",D305&lt;&gt;"OUT"),"USE IN OR OUT",IF(OR(NOT(ISNUMBER(E305)),E305&lt;=0),"POSITIVE QTY NEEDED","OK"))))))</f>
        <v/>
      </c>
      <c r="I305" s="1"/>
      <c r="J305" s="1"/>
      <c r="K305" s="1"/>
    </row>
    <row r="306" spans="1:11" ht="24" customHeight="1">
      <c r="A306" s="7"/>
      <c r="B306" s="4"/>
      <c r="C306" s="1" t="str">
        <f>IF(B306="","",IF(COUNTIFS(Inventory!$A$12:$A$61,B306)=1,VLOOKUP(B306,Inventory!$A$12:$B$61,2,FALSE),"CHECK ITEM CODE"))</f>
        <v/>
      </c>
      <c r="D306" s="4"/>
      <c r="E306" s="8"/>
      <c r="F306" s="4"/>
      <c r="G306" s="4"/>
      <c r="H306" s="1" t="str">
        <f>IF(COUNTA(A306:B306,D306:G306)=0,"",IF(OR(A306="",B306="",D306="",E306=""),"COMPLETE ENTRY",IF(COUNTIFS(Inventory!$A$12:$A$61,B306)&lt;&gt;1,"CHECK ITEM CODE",IF(OR(NOT(ISNUMBER(A306)),A306&lt;=0),"CHECK DATE",IF(AND(D306&lt;&gt;"IN",D306&lt;&gt;"OUT"),"USE IN OR OUT",IF(OR(NOT(ISNUMBER(E306)),E306&lt;=0),"POSITIVE QTY NEEDED","OK"))))))</f>
        <v/>
      </c>
      <c r="I306" s="1"/>
      <c r="J306" s="1"/>
      <c r="K306" s="1"/>
    </row>
    <row r="307" spans="1:11" ht="24" customHeight="1">
      <c r="A307" s="7"/>
      <c r="B307" s="4"/>
      <c r="C307" s="1" t="str">
        <f>IF(B307="","",IF(COUNTIFS(Inventory!$A$12:$A$61,B307)=1,VLOOKUP(B307,Inventory!$A$12:$B$61,2,FALSE),"CHECK ITEM CODE"))</f>
        <v/>
      </c>
      <c r="D307" s="4"/>
      <c r="E307" s="8"/>
      <c r="F307" s="4"/>
      <c r="G307" s="4"/>
      <c r="H307" s="1" t="str">
        <f>IF(COUNTA(A307:B307,D307:G307)=0,"",IF(OR(A307="",B307="",D307="",E307=""),"COMPLETE ENTRY",IF(COUNTIFS(Inventory!$A$12:$A$61,B307)&lt;&gt;1,"CHECK ITEM CODE",IF(OR(NOT(ISNUMBER(A307)),A307&lt;=0),"CHECK DATE",IF(AND(D307&lt;&gt;"IN",D307&lt;&gt;"OUT"),"USE IN OR OUT",IF(OR(NOT(ISNUMBER(E307)),E307&lt;=0),"POSITIVE QTY NEEDED","OK"))))))</f>
        <v/>
      </c>
      <c r="I307" s="1"/>
      <c r="J307" s="1"/>
      <c r="K307" s="1"/>
    </row>
    <row r="308" spans="1:11" ht="24" customHeight="1">
      <c r="A308" s="7"/>
      <c r="B308" s="4"/>
      <c r="C308" s="1" t="str">
        <f>IF(B308="","",IF(COUNTIFS(Inventory!$A$12:$A$61,B308)=1,VLOOKUP(B308,Inventory!$A$12:$B$61,2,FALSE),"CHECK ITEM CODE"))</f>
        <v/>
      </c>
      <c r="D308" s="4"/>
      <c r="E308" s="8"/>
      <c r="F308" s="4"/>
      <c r="G308" s="4"/>
      <c r="H308" s="1" t="str">
        <f>IF(COUNTA(A308:B308,D308:G308)=0,"",IF(OR(A308="",B308="",D308="",E308=""),"COMPLETE ENTRY",IF(COUNTIFS(Inventory!$A$12:$A$61,B308)&lt;&gt;1,"CHECK ITEM CODE",IF(OR(NOT(ISNUMBER(A308)),A308&lt;=0),"CHECK DATE",IF(AND(D308&lt;&gt;"IN",D308&lt;&gt;"OUT"),"USE IN OR OUT",IF(OR(NOT(ISNUMBER(E308)),E308&lt;=0),"POSITIVE QTY NEEDED","OK"))))))</f>
        <v/>
      </c>
      <c r="I308" s="1"/>
      <c r="J308" s="1"/>
      <c r="K308" s="1"/>
    </row>
    <row r="309" spans="1:11" ht="24" customHeight="1">
      <c r="A309" s="7"/>
      <c r="B309" s="4"/>
      <c r="C309" s="1" t="str">
        <f>IF(B309="","",IF(COUNTIFS(Inventory!$A$12:$A$61,B309)=1,VLOOKUP(B309,Inventory!$A$12:$B$61,2,FALSE),"CHECK ITEM CODE"))</f>
        <v/>
      </c>
      <c r="D309" s="4"/>
      <c r="E309" s="8"/>
      <c r="F309" s="4"/>
      <c r="G309" s="4"/>
      <c r="H309" s="1" t="str">
        <f>IF(COUNTA(A309:B309,D309:G309)=0,"",IF(OR(A309="",B309="",D309="",E309=""),"COMPLETE ENTRY",IF(COUNTIFS(Inventory!$A$12:$A$61,B309)&lt;&gt;1,"CHECK ITEM CODE",IF(OR(NOT(ISNUMBER(A309)),A309&lt;=0),"CHECK DATE",IF(AND(D309&lt;&gt;"IN",D309&lt;&gt;"OUT"),"USE IN OR OUT",IF(OR(NOT(ISNUMBER(E309)),E309&lt;=0),"POSITIVE QTY NEEDED","OK"))))))</f>
        <v/>
      </c>
      <c r="I309" s="1"/>
      <c r="J309" s="1"/>
      <c r="K309" s="1"/>
    </row>
    <row r="310" spans="1:11" ht="24" customHeight="1">
      <c r="A310" s="7"/>
      <c r="B310" s="4"/>
      <c r="C310" s="1" t="str">
        <f>IF(B310="","",IF(COUNTIFS(Inventory!$A$12:$A$61,B310)=1,VLOOKUP(B310,Inventory!$A$12:$B$61,2,FALSE),"CHECK ITEM CODE"))</f>
        <v/>
      </c>
      <c r="D310" s="4"/>
      <c r="E310" s="8"/>
      <c r="F310" s="4"/>
      <c r="G310" s="4"/>
      <c r="H310" s="1" t="str">
        <f>IF(COUNTA(A310:B310,D310:G310)=0,"",IF(OR(A310="",B310="",D310="",E310=""),"COMPLETE ENTRY",IF(COUNTIFS(Inventory!$A$12:$A$61,B310)&lt;&gt;1,"CHECK ITEM CODE",IF(OR(NOT(ISNUMBER(A310)),A310&lt;=0),"CHECK DATE",IF(AND(D310&lt;&gt;"IN",D310&lt;&gt;"OUT"),"USE IN OR OUT",IF(OR(NOT(ISNUMBER(E310)),E310&lt;=0),"POSITIVE QTY NEEDED","OK"))))))</f>
        <v/>
      </c>
      <c r="I310" s="1"/>
      <c r="J310" s="1"/>
      <c r="K310" s="1"/>
    </row>
    <row r="311" spans="1:11" ht="24" customHeight="1">
      <c r="A311" s="7"/>
      <c r="B311" s="4"/>
      <c r="C311" s="1" t="str">
        <f>IF(B311="","",IF(COUNTIFS(Inventory!$A$12:$A$61,B311)=1,VLOOKUP(B311,Inventory!$A$12:$B$61,2,FALSE),"CHECK ITEM CODE"))</f>
        <v/>
      </c>
      <c r="D311" s="4"/>
      <c r="E311" s="8"/>
      <c r="F311" s="4"/>
      <c r="G311" s="4"/>
      <c r="H311" s="1" t="str">
        <f>IF(COUNTA(A311:B311,D311:G311)=0,"",IF(OR(A311="",B311="",D311="",E311=""),"COMPLETE ENTRY",IF(COUNTIFS(Inventory!$A$12:$A$61,B311)&lt;&gt;1,"CHECK ITEM CODE",IF(OR(NOT(ISNUMBER(A311)),A311&lt;=0),"CHECK DATE",IF(AND(D311&lt;&gt;"IN",D311&lt;&gt;"OUT"),"USE IN OR OUT",IF(OR(NOT(ISNUMBER(E311)),E311&lt;=0),"POSITIVE QTY NEEDED","OK"))))))</f>
        <v/>
      </c>
      <c r="I311" s="1"/>
      <c r="J311" s="1"/>
      <c r="K311" s="1"/>
    </row>
  </sheetData>
  <conditionalFormatting sqref="H12:H311">
    <cfRule type="expression" dxfId="0" priority="1">
      <formula>AND(H12&lt;&gt;"",H12&lt;&gt;"OK")</formula>
    </cfRule>
  </conditionalFormatting>
  <dataValidations count="2">
    <dataValidation type="list" sqref="D12:D311" xr:uid="{00000000-0002-0000-0100-000001000000}">
      <formula1>"IN,OUT"</formula1>
    </dataValidation>
    <dataValidation type="decimal" operator="greaterThan" sqref="E12:E311" xr:uid="{00000000-0002-0000-0100-000002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Inventory!$A$12:$A$61</xm:f>
          </x14:formula1>
          <xm:sqref>B12:B311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Stock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 Technology</dc:creator>
  <cp:lastModifiedBy>Lord Technology</cp:lastModifiedBy>
  <dcterms:created xsi:type="dcterms:W3CDTF">2026-10-05T20:43:15Z</dcterms:created>
  <dcterms:modified xsi:type="dcterms:W3CDTF">2026-10-06T16:01:49Z</dcterms:modified>
</cp:coreProperties>
</file>