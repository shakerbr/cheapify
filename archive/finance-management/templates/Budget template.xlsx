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Java\Desktop\AUK Training\Capa\Final\"/>
    </mc:Choice>
  </mc:AlternateContent>
  <xr:revisionPtr revIDLastSave="0" documentId="13_ncr:1_{AE6F281C-5ED7-4451-99AD-431A3A472820}" xr6:coauthVersionLast="41" xr6:coauthVersionMax="41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Revenue" sheetId="2" r:id="rId2"/>
    <sheet name="Direct Costs" sheetId="3" r:id="rId3"/>
    <sheet name="Indirect Expenses" sheetId="4" r:id="rId4"/>
    <sheet name="Asset Purchas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5" l="1"/>
  <c r="D11" i="5" s="1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B5" i="5"/>
  <c r="B4" i="5"/>
  <c r="B31" i="4"/>
  <c r="B16" i="1" s="1"/>
  <c r="B34" i="1" s="1"/>
  <c r="B5" i="4"/>
  <c r="B4" i="4"/>
  <c r="B31" i="3"/>
  <c r="B12" i="1" s="1"/>
  <c r="B33" i="1" s="1"/>
  <c r="B5" i="3"/>
  <c r="B4" i="3"/>
  <c r="B31" i="2"/>
  <c r="B11" i="1" s="1"/>
  <c r="B5" i="2"/>
  <c r="B4" i="2"/>
  <c r="B35" i="1"/>
  <c r="B8" i="1"/>
  <c r="B36" i="1" l="1"/>
  <c r="D27" i="5"/>
  <c r="B38" i="1" s="1"/>
  <c r="B14" i="1"/>
  <c r="B18" i="1" s="1"/>
  <c r="B21" i="1" s="1"/>
  <c r="B20" i="1" l="1"/>
  <c r="B40" i="1"/>
  <c r="B44" i="1" s="1"/>
</calcChain>
</file>

<file path=xl/sharedStrings.xml><?xml version="1.0" encoding="utf-8"?>
<sst xmlns="http://schemas.openxmlformats.org/spreadsheetml/2006/main" count="134" uniqueCount="113">
  <si>
    <t>Simple business budget</t>
  </si>
  <si>
    <t>Business name</t>
  </si>
  <si>
    <t>Budget period</t>
  </si>
  <si>
    <t>Enter the month or period covered, e.g. October 2026.</t>
  </si>
  <si>
    <t>Currency</t>
  </si>
  <si>
    <t>IQD</t>
  </si>
  <si>
    <t>Use one currency throughout. Changing this label does not convert amounts.</t>
  </si>
  <si>
    <t>Budget status</t>
  </si>
  <si>
    <t>Budget summary</t>
  </si>
  <si>
    <t>Amount</t>
  </si>
  <si>
    <t>Total revenue</t>
  </si>
  <si>
    <t>Expected income from selling products or providing services.</t>
  </si>
  <si>
    <t>Less: direct costs</t>
  </si>
  <si>
    <t>Costs directly related to those products or services.</t>
  </si>
  <si>
    <t>Gross profit</t>
  </si>
  <si>
    <t>Revenue minus direct costs.</t>
  </si>
  <si>
    <t>Less: indirect and other expenses</t>
  </si>
  <si>
    <t>Business overheads, plus interest and income tax if applicable.</t>
  </si>
  <si>
    <t>Net profit / (loss)</t>
  </si>
  <si>
    <t>Gross profit minus indirect and other expenses.</t>
  </si>
  <si>
    <t>Gross profit margin</t>
  </si>
  <si>
    <t>Net profit margin</t>
  </si>
  <si>
    <t>How to use</t>
  </si>
  <si>
    <t>1. Enter budget amounts in the yellow cells on the three input tabs.</t>
  </si>
  <si>
    <t>2. Use the same period and currency for all figures. Enter costs as positive amounts.</t>
  </si>
  <si>
    <t>3. Return here to see the automatic summary. Blank amount cells count as zero.</t>
  </si>
  <si>
    <t>Each input tab has 20 lines. Rename the suggested categories to fit your business.</t>
  </si>
  <si>
    <t>Asset purchases are listed separately below for donor review; they are excluded from the profit calculation above.</t>
  </si>
  <si>
    <t>DONOR BUDGET SUMMARY</t>
  </si>
  <si>
    <t>Direct project costs</t>
  </si>
  <si>
    <t>Indirect and other expenses</t>
  </si>
  <si>
    <t>Less: depreciation (non-cash)</t>
  </si>
  <si>
    <t>Excludes the Depreciation line on Indirect Expenses to avoid double-counting asset costs.</t>
  </si>
  <si>
    <t>Operating budget excluding depreciation</t>
  </si>
  <si>
    <t>Asset purchases (CAPEX)</t>
  </si>
  <si>
    <t>Full purchase cost from Asset Purchases, including the stated quantities and unit costs.</t>
  </si>
  <si>
    <t>TOTAL PROJECT BUDGET</t>
  </si>
  <si>
    <t>Less: other confirmed funding</t>
  </si>
  <si>
    <t>Enter owner contributions, other grants and project revenue committed to this budget.</t>
  </si>
  <si>
    <t>FUNDING NEEDED FROM DONOR</t>
  </si>
  <si>
    <t>Total project budget less other confirmed funding, with a minimum of zero.</t>
  </si>
  <si>
    <t>Donor budget basis: planned costs for the stated project period; this is not a payment-timing cash forecast.</t>
  </si>
  <si>
    <t>Revenue is not automatically deducted as funding. Include only revenue committed to the project in other confirmed funding.</t>
  </si>
  <si>
    <t>Confirm donor eligibility of each cost, including interest and tax. Put depreciation only on the designated Depreciation line.</t>
  </si>
  <si>
    <t>Revenue</t>
  </si>
  <si>
    <t>Enter your expected revenue. Rename or add items in the yellow rows.</t>
  </si>
  <si>
    <t>Blank amounts count as zero. Notes can explain your estimate, e.g. 100 units × 5,000 IQD.</t>
  </si>
  <si>
    <t>Budget item</t>
  </si>
  <si>
    <t>Budget amount</t>
  </si>
  <si>
    <t>Notes / basis of estimate</t>
  </si>
  <si>
    <t>Product sales</t>
  </si>
  <si>
    <t>Expected sales of products.</t>
  </si>
  <si>
    <t>Service income</t>
  </si>
  <si>
    <t>Expected fees for your services.</t>
  </si>
  <si>
    <t>Other operating revenue</t>
  </si>
  <si>
    <t>Other income from normal business activities.</t>
  </si>
  <si>
    <t>Only yellow cells need input. The total above flows automatically to Summary.</t>
  </si>
  <si>
    <t>Direct Costs</t>
  </si>
  <si>
    <t>Enter positive budgeted costs. List each expense only once across the cost tabs.</t>
  </si>
  <si>
    <t>Materials / ingredients used</t>
  </si>
  <si>
    <t>Cost of materials used for the budgeted sales.</t>
  </si>
  <si>
    <t>Cost of the goods expected to be sold, not all stock purchases.</t>
  </si>
  <si>
    <t>Direct production labour</t>
  </si>
  <si>
    <t>Labour directly attributable to making products or delivering services.</t>
  </si>
  <si>
    <t>Packaging used for sales</t>
  </si>
  <si>
    <t>Packaging consumed for the budgeted sales.</t>
  </si>
  <si>
    <t>Other direct costs</t>
  </si>
  <si>
    <t>Other costs directly attributable to products or services.</t>
  </si>
  <si>
    <t>Total direct costs</t>
  </si>
  <si>
    <t>Indirect Expenses</t>
  </si>
  <si>
    <t>Rent</t>
  </si>
  <si>
    <t>Administrative salaries</t>
  </si>
  <si>
    <t>Support staff salaries; exclude labour already listed as direct costs.</t>
  </si>
  <si>
    <t>Electricity and water</t>
  </si>
  <si>
    <t>Utilities treated as overhead in this simple template.</t>
  </si>
  <si>
    <t>Marketing and advertising</t>
  </si>
  <si>
    <t>Promotion and advertising.</t>
  </si>
  <si>
    <t>Internet and telephone</t>
  </si>
  <si>
    <t>Business communications.</t>
  </si>
  <si>
    <t>Transport and delivery overhead</t>
  </si>
  <si>
    <t>Delivery or transport treated as overhead; do not double-count direct costs.</t>
  </si>
  <si>
    <t>Repairs and maintenance</t>
  </si>
  <si>
    <t>Routine repairs and upkeep.</t>
  </si>
  <si>
    <t>Insurance and licences</t>
  </si>
  <si>
    <t>Only the amount relating to this budget period.</t>
  </si>
  <si>
    <t>Office supplies</t>
  </si>
  <si>
    <t>Stationery and other office supplies.</t>
  </si>
  <si>
    <t>Depreciation</t>
  </si>
  <si>
    <t>The period’s depreciation expense, not the equipment purchase price.</t>
  </si>
  <si>
    <t>Other operating expenses</t>
  </si>
  <si>
    <t>Other overheads not already listed.</t>
  </si>
  <si>
    <t>Interest expense</t>
  </si>
  <si>
    <t>Interest only; exclude loan principal repayments.</t>
  </si>
  <si>
    <t>Income tax expense</t>
  </si>
  <si>
    <t>Enter an estimate if applicable; this workbook does not calculate tax.</t>
  </si>
  <si>
    <t>Total indirect expenses</t>
  </si>
  <si>
    <t>Interest and income tax are included here separately so the summary can show net profit.</t>
  </si>
  <si>
    <t>List the full purchase cost of equipment, furniture and other long-term assets needed for the project.</t>
  </si>
  <si>
    <t>Yellow cells are inputs. Explain why each asset is needed so the donor can review the request.</t>
  </si>
  <si>
    <t>Asset / equipment</t>
  </si>
  <si>
    <t>Quantity</t>
  </si>
  <si>
    <t>Unit cost</t>
  </si>
  <si>
    <t>Total purchase cost</t>
  </si>
  <si>
    <t>Purpose / justification</t>
  </si>
  <si>
    <t>Total asset purchases</t>
  </si>
  <si>
    <t>Examples: coffee machine, laptop, refrigerator, desks or production equipment.</t>
  </si>
  <si>
    <t>Include delivery and installation in unit cost when part of the asset’s purchase cost.</t>
  </si>
  <si>
    <t>Full asset cost goes to the donor budget. Only depreciation goes to the profit summary.</t>
  </si>
  <si>
    <t>State useful quantities and costs for this project only. Do not enter the same purchase under Direct Costs or Indirect Expenses.</t>
  </si>
  <si>
    <t xml:space="preserve">Sewing machine </t>
  </si>
  <si>
    <t xml:space="preserve">I need to expand my work, be able to produce more dresses </t>
  </si>
  <si>
    <t xml:space="preserve">Rent for 5 month </t>
  </si>
  <si>
    <t>Vip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</si>
</sst>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–&quot;"/>
    <numFmt numFmtId="165" formatCode="0.0%"/>
  </numFmts>
  <fonts count="8">
    <font>
      <sz val="11"/>
      <name val="Carlito"/>
    </font>
    <font>
      <sz val="11"/>
      <color rgb="FF222222"/>
      <name val="Arial"/>
    </font>
    <font>
      <b/>
      <sz val="16"/>
      <color rgb="FF203864"/>
      <name val="Arial"/>
    </font>
    <font>
      <sz val="11"/>
      <color rgb="FF0000FF"/>
      <name val="Arial"/>
    </font>
    <font>
      <b/>
      <sz val="11"/>
      <color rgb="FFFFFFFF"/>
      <name val="Arial"/>
    </font>
    <font>
      <i/>
      <sz val="11"/>
      <color rgb="FF222222"/>
      <name val="Arial"/>
    </font>
    <font>
      <b/>
      <sz val="11"/>
      <color rgb="FF222222"/>
      <name val="Arial"/>
    </font>
    <font>
      <sz val="11"/>
      <color rgb="FF008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03864"/>
      </patternFill>
    </fill>
    <fill>
      <patternFill patternType="solid">
        <fgColor rgb="FFE9EFF7"/>
      </patternFill>
    </fill>
    <fill>
      <patternFill patternType="solid">
        <fgColor rgb="FF203864"/>
      </patternFill>
    </fill>
    <fill>
      <patternFill patternType="solid">
        <fgColor rgb="FFFFF2CC"/>
      </patternFill>
    </fill>
    <fill>
      <patternFill patternType="solid">
        <fgColor rgb="FFE9EFF7"/>
      </patternFill>
    </fill>
  </fills>
  <borders count="2">
    <border>
      <left/>
      <right/>
      <top/>
      <bottom/>
      <diagonal/>
    </border>
    <border>
      <left/>
      <right/>
      <top style="thin">
        <color rgb="FF2038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165" fontId="5" fillId="0" borderId="0" xfId="0" applyNumberFormat="1" applyFont="1" applyFill="1" applyBorder="1" applyAlignment="1">
      <alignment vertical="center"/>
    </xf>
    <xf numFmtId="0" fontId="6" fillId="4" borderId="1" xfId="0" applyNumberFormat="1" applyFont="1" applyFill="1" applyBorder="1" applyAlignment="1">
      <alignment vertical="center"/>
    </xf>
    <xf numFmtId="164" fontId="6" fillId="4" borderId="1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5" borderId="0" xfId="0" applyNumberFormat="1" applyFont="1" applyFill="1" applyBorder="1" applyAlignment="1">
      <alignment vertical="center"/>
    </xf>
    <xf numFmtId="0" fontId="4" fillId="5" borderId="0" xfId="0" applyNumberFormat="1" applyFont="1" applyFill="1" applyBorder="1" applyAlignment="1">
      <alignment vertical="center" wrapText="1"/>
    </xf>
    <xf numFmtId="0" fontId="3" fillId="6" borderId="0" xfId="0" applyNumberFormat="1" applyFont="1" applyFill="1" applyBorder="1" applyAlignment="1">
      <alignment vertical="center"/>
    </xf>
    <xf numFmtId="164" fontId="3" fillId="6" borderId="0" xfId="0" applyNumberFormat="1" applyFont="1" applyFill="1" applyBorder="1" applyAlignment="1">
      <alignment vertical="center"/>
    </xf>
    <xf numFmtId="1" fontId="3" fillId="6" borderId="0" xfId="0" applyNumberFormat="1" applyFont="1" applyFill="1" applyBorder="1" applyAlignment="1">
      <alignment vertical="center"/>
    </xf>
    <xf numFmtId="0" fontId="6" fillId="7" borderId="0" xfId="0" applyNumberFormat="1" applyFont="1" applyFill="1" applyBorder="1" applyAlignment="1">
      <alignment vertical="center"/>
    </xf>
    <xf numFmtId="164" fontId="6" fillId="7" borderId="0" xfId="0" applyNumberFormat="1" applyFont="1" applyFill="1" applyBorder="1" applyAlignment="1">
      <alignment vertical="center"/>
    </xf>
    <xf numFmtId="0" fontId="6" fillId="7" borderId="1" xfId="0" applyNumberFormat="1" applyFont="1" applyFill="1" applyBorder="1" applyAlignment="1">
      <alignment vertical="center"/>
    </xf>
    <xf numFmtId="164" fontId="6" fillId="7" borderId="1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6" fillId="7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showGridLines="0" topLeftCell="A32" workbookViewId="0">
      <selection activeCell="B38" sqref="B38"/>
    </sheetView>
  </sheetViews>
  <sheetFormatPr defaultRowHeight="13.8"/>
  <cols>
    <col min="1" max="1" width="43" customWidth="1"/>
    <col min="2" max="2" width="23" customWidth="1"/>
    <col min="3" max="3" width="5" customWidth="1"/>
    <col min="4" max="4" width="72" customWidth="1"/>
  </cols>
  <sheetData>
    <row r="1" spans="1:4" ht="25.95" customHeight="1">
      <c r="A1" s="1"/>
      <c r="B1" s="1"/>
      <c r="C1" s="1"/>
      <c r="D1" s="1"/>
    </row>
    <row r="2" spans="1:4" ht="25.95" customHeight="1">
      <c r="A2" s="2" t="s">
        <v>0</v>
      </c>
      <c r="B2" s="1"/>
      <c r="C2" s="1"/>
      <c r="D2" s="1"/>
    </row>
    <row r="3" spans="1:4" ht="25.95" customHeight="1">
      <c r="A3" s="1"/>
      <c r="B3" s="1"/>
      <c r="C3" s="1"/>
      <c r="D3" s="1"/>
    </row>
    <row r="4" spans="1:4" ht="25.95" customHeight="1">
      <c r="A4" s="1" t="s">
        <v>1</v>
      </c>
      <c r="B4" s="3"/>
      <c r="C4" s="1"/>
      <c r="D4" s="1"/>
    </row>
    <row r="5" spans="1:4" ht="25.95" customHeight="1">
      <c r="A5" s="1" t="s">
        <v>2</v>
      </c>
      <c r="B5" s="3"/>
      <c r="C5" s="1"/>
      <c r="D5" s="1" t="s">
        <v>3</v>
      </c>
    </row>
    <row r="6" spans="1:4" ht="25.95" customHeight="1">
      <c r="A6" s="1" t="s">
        <v>4</v>
      </c>
      <c r="B6" s="3" t="s">
        <v>5</v>
      </c>
      <c r="C6" s="1"/>
      <c r="D6" s="1" t="s">
        <v>6</v>
      </c>
    </row>
    <row r="7" spans="1:4" ht="25.95" customHeight="1">
      <c r="A7" s="1"/>
      <c r="B7" s="1"/>
      <c r="C7" s="1"/>
      <c r="D7" s="1"/>
    </row>
    <row r="8" spans="1:4" ht="25.95" customHeight="1">
      <c r="A8" s="1" t="s">
        <v>7</v>
      </c>
      <c r="B8" s="1" t="str">
        <f>IF(COUNT(Revenue!B10:B29,'Direct Costs'!B10:B29,'Indirect Expenses'!B10:B29)=0,"Enter budget figures","Budget entered")</f>
        <v>Budget entered</v>
      </c>
      <c r="C8" s="1"/>
      <c r="D8" s="1"/>
    </row>
    <row r="9" spans="1:4" ht="25.95" customHeight="1">
      <c r="A9" s="1"/>
      <c r="B9" s="1"/>
      <c r="C9" s="1"/>
      <c r="D9" s="1"/>
    </row>
    <row r="10" spans="1:4" ht="30" customHeight="1">
      <c r="A10" s="4" t="s">
        <v>8</v>
      </c>
      <c r="B10" s="4" t="s">
        <v>9</v>
      </c>
      <c r="C10" s="1"/>
      <c r="D10" s="1"/>
    </row>
    <row r="11" spans="1:4" ht="25.95" customHeight="1">
      <c r="A11" s="1" t="s">
        <v>10</v>
      </c>
      <c r="B11" s="5">
        <f>Revenue!B31</f>
        <v>8000000</v>
      </c>
      <c r="C11" s="1"/>
      <c r="D11" s="1" t="s">
        <v>11</v>
      </c>
    </row>
    <row r="12" spans="1:4" ht="25.95" customHeight="1">
      <c r="A12" s="1" t="s">
        <v>12</v>
      </c>
      <c r="B12" s="5">
        <f>'Direct Costs'!B31</f>
        <v>3000000</v>
      </c>
      <c r="C12" s="1"/>
      <c r="D12" s="1" t="s">
        <v>13</v>
      </c>
    </row>
    <row r="13" spans="1:4" ht="25.95" customHeight="1">
      <c r="A13" s="1"/>
      <c r="B13" s="5"/>
      <c r="C13" s="1"/>
      <c r="D13" s="1"/>
    </row>
    <row r="14" spans="1:4" ht="25.95" customHeight="1">
      <c r="A14" s="8" t="s">
        <v>14</v>
      </c>
      <c r="B14" s="9">
        <f>B11-B12</f>
        <v>5000000</v>
      </c>
      <c r="C14" s="1"/>
      <c r="D14" s="1" t="s">
        <v>15</v>
      </c>
    </row>
    <row r="15" spans="1:4" ht="25.95" customHeight="1">
      <c r="A15" s="1"/>
      <c r="B15" s="5"/>
      <c r="C15" s="1"/>
      <c r="D15" s="1"/>
    </row>
    <row r="16" spans="1:4" ht="25.95" customHeight="1">
      <c r="A16" s="1" t="s">
        <v>16</v>
      </c>
      <c r="B16" s="5">
        <f>'Indirect Expenses'!B31</f>
        <v>2500000</v>
      </c>
      <c r="C16" s="1"/>
      <c r="D16" s="1" t="s">
        <v>17</v>
      </c>
    </row>
    <row r="17" spans="1:4" ht="25.95" customHeight="1">
      <c r="A17" s="1"/>
      <c r="B17" s="5"/>
      <c r="C17" s="1"/>
      <c r="D17" s="1"/>
    </row>
    <row r="18" spans="1:4" ht="25.95" customHeight="1">
      <c r="A18" s="8" t="s">
        <v>18</v>
      </c>
      <c r="B18" s="9">
        <f>B14-B16</f>
        <v>2500000</v>
      </c>
      <c r="C18" s="1"/>
      <c r="D18" s="1" t="s">
        <v>19</v>
      </c>
    </row>
    <row r="19" spans="1:4" ht="25.95" customHeight="1">
      <c r="A19" s="1"/>
      <c r="B19" s="1"/>
      <c r="C19" s="1"/>
      <c r="D19" s="1"/>
    </row>
    <row r="20" spans="1:4" ht="25.95" customHeight="1">
      <c r="A20" s="6" t="s">
        <v>20</v>
      </c>
      <c r="B20" s="7">
        <f>IF(B11=0,"n.a.",B14/B11)</f>
        <v>0.625</v>
      </c>
      <c r="C20" s="1"/>
      <c r="D20" s="1"/>
    </row>
    <row r="21" spans="1:4" ht="25.95" customHeight="1">
      <c r="A21" s="6" t="s">
        <v>21</v>
      </c>
      <c r="B21" s="7">
        <f>IF(B11=0,"n.a.",B18/B11)</f>
        <v>0.3125</v>
      </c>
      <c r="C21" s="1"/>
      <c r="D21" s="1"/>
    </row>
    <row r="22" spans="1:4" ht="25.95" customHeight="1">
      <c r="A22" s="1"/>
      <c r="B22" s="1"/>
      <c r="C22" s="1"/>
      <c r="D22" s="1"/>
    </row>
    <row r="23" spans="1:4" ht="25.95" customHeight="1">
      <c r="A23" s="1"/>
      <c r="B23" s="1"/>
      <c r="C23" s="1"/>
      <c r="D23" s="1"/>
    </row>
    <row r="24" spans="1:4" ht="25.95" customHeight="1">
      <c r="A24" s="1" t="s">
        <v>22</v>
      </c>
      <c r="B24" s="1"/>
      <c r="C24" s="1"/>
      <c r="D24" s="1"/>
    </row>
    <row r="25" spans="1:4" ht="25.95" customHeight="1">
      <c r="A25" s="1" t="s">
        <v>23</v>
      </c>
      <c r="B25" s="1"/>
      <c r="C25" s="1"/>
      <c r="D25" s="1"/>
    </row>
    <row r="26" spans="1:4" ht="25.95" customHeight="1">
      <c r="A26" s="1" t="s">
        <v>24</v>
      </c>
      <c r="B26" s="1"/>
      <c r="C26" s="1"/>
      <c r="D26" s="1"/>
    </row>
    <row r="27" spans="1:4" ht="25.95" customHeight="1">
      <c r="A27" s="1" t="s">
        <v>25</v>
      </c>
      <c r="B27" s="1"/>
      <c r="C27" s="1"/>
      <c r="D27" s="1"/>
    </row>
    <row r="28" spans="1:4" ht="25.95" customHeight="1">
      <c r="A28" s="1" t="s">
        <v>26</v>
      </c>
      <c r="B28" s="1"/>
      <c r="C28" s="1"/>
      <c r="D28" s="1"/>
    </row>
    <row r="29" spans="1:4" ht="25.95" customHeight="1">
      <c r="A29" s="1" t="s">
        <v>27</v>
      </c>
      <c r="B29" s="1"/>
      <c r="C29" s="1"/>
      <c r="D29" s="1"/>
    </row>
    <row r="31" spans="1:4" ht="27" customHeight="1">
      <c r="A31" s="13" t="s">
        <v>28</v>
      </c>
      <c r="B31" s="13"/>
      <c r="C31" s="1"/>
      <c r="D31" s="1"/>
    </row>
    <row r="32" spans="1:4" ht="27" customHeight="1">
      <c r="A32" s="1"/>
      <c r="B32" s="1"/>
      <c r="C32" s="1"/>
      <c r="D32" s="1"/>
    </row>
    <row r="33" spans="1:4" ht="27" customHeight="1">
      <c r="A33" s="1" t="s">
        <v>29</v>
      </c>
      <c r="B33" s="5">
        <f>B12</f>
        <v>3000000</v>
      </c>
      <c r="C33" s="1"/>
      <c r="D33" s="1"/>
    </row>
    <row r="34" spans="1:4" ht="27" customHeight="1">
      <c r="A34" s="1" t="s">
        <v>30</v>
      </c>
      <c r="B34" s="5">
        <f>B16</f>
        <v>2500000</v>
      </c>
      <c r="C34" s="1"/>
      <c r="D34" s="1"/>
    </row>
    <row r="35" spans="1:4" ht="37.950000000000003" customHeight="1">
      <c r="A35" s="1" t="s">
        <v>31</v>
      </c>
      <c r="B35" s="5">
        <f>IF('Indirect Expenses'!B19="",0,'Indirect Expenses'!B19)</f>
        <v>0</v>
      </c>
      <c r="C35" s="1"/>
      <c r="D35" s="22" t="s">
        <v>32</v>
      </c>
    </row>
    <row r="36" spans="1:4" ht="37.950000000000003" customHeight="1">
      <c r="A36" s="23" t="s">
        <v>33</v>
      </c>
      <c r="B36" s="21">
        <f>B33+B34-B35</f>
        <v>5500000</v>
      </c>
      <c r="C36" s="1"/>
      <c r="D36" s="1"/>
    </row>
    <row r="37" spans="1:4" ht="27" customHeight="1">
      <c r="A37" s="1"/>
      <c r="B37" s="5"/>
      <c r="C37" s="1"/>
      <c r="D37" s="1"/>
    </row>
    <row r="38" spans="1:4" ht="37.950000000000003" customHeight="1">
      <c r="A38" s="1" t="s">
        <v>34</v>
      </c>
      <c r="B38" s="5">
        <f>'Asset Purchases'!D27</f>
        <v>3000000</v>
      </c>
      <c r="C38" s="1"/>
      <c r="D38" s="22" t="s">
        <v>35</v>
      </c>
    </row>
    <row r="39" spans="1:4" ht="27" customHeight="1">
      <c r="A39" s="1"/>
      <c r="B39" s="5"/>
      <c r="C39" s="1"/>
      <c r="D39" s="1"/>
    </row>
    <row r="40" spans="1:4" ht="27" customHeight="1">
      <c r="A40" s="20" t="s">
        <v>36</v>
      </c>
      <c r="B40" s="21">
        <f>IF(ISNUMBER(B38),SUM(B36,B38),"Complete asset rows")</f>
        <v>8500000</v>
      </c>
      <c r="C40" s="1"/>
      <c r="D40" s="1"/>
    </row>
    <row r="41" spans="1:4" ht="27" customHeight="1">
      <c r="A41" s="1"/>
      <c r="B41" s="5"/>
      <c r="C41" s="1"/>
      <c r="D41" s="1"/>
    </row>
    <row r="42" spans="1:4" ht="37.950000000000003" customHeight="1">
      <c r="A42" s="1" t="s">
        <v>37</v>
      </c>
      <c r="B42" s="16"/>
      <c r="C42" s="1"/>
      <c r="D42" s="22" t="s">
        <v>38</v>
      </c>
    </row>
    <row r="43" spans="1:4" ht="27" customHeight="1">
      <c r="A43" s="1"/>
      <c r="B43" s="5"/>
      <c r="C43" s="1"/>
      <c r="D43" s="1"/>
    </row>
    <row r="44" spans="1:4" ht="37.950000000000003" customHeight="1">
      <c r="A44" s="20" t="s">
        <v>39</v>
      </c>
      <c r="B44" s="21">
        <f>IF(ISNUMBER(B40),MAX(0,B40-B42),"Complete asset rows")</f>
        <v>8500000</v>
      </c>
      <c r="C44" s="1"/>
      <c r="D44" s="22" t="s">
        <v>40</v>
      </c>
    </row>
    <row r="45" spans="1:4" ht="27" customHeight="1">
      <c r="A45" s="1"/>
      <c r="B45" s="1"/>
      <c r="C45" s="1"/>
      <c r="D45" s="1"/>
    </row>
    <row r="46" spans="1:4" ht="27" customHeight="1">
      <c r="A46" s="1" t="s">
        <v>41</v>
      </c>
      <c r="B46" s="1"/>
      <c r="C46" s="1"/>
      <c r="D46" s="1"/>
    </row>
    <row r="47" spans="1:4" ht="27" customHeight="1">
      <c r="A47" s="1" t="s">
        <v>42</v>
      </c>
      <c r="B47" s="1"/>
      <c r="C47" s="1"/>
      <c r="D47" s="1"/>
    </row>
    <row r="48" spans="1:4" ht="27" customHeight="1">
      <c r="A48" s="1" t="s">
        <v>43</v>
      </c>
      <c r="B48" s="1"/>
      <c r="C48" s="1"/>
      <c r="D48" s="1"/>
    </row>
  </sheetData>
  <conditionalFormatting sqref="B18">
    <cfRule type="cellIs" dxfId="0" priority="1" operator="lessThan">
      <formula>0</formula>
    </cfRule>
  </conditionalFormatting>
  <dataValidations count="1">
    <dataValidation type="decimal" operator="greaterThanOrEqual" sqref="B42" xr:uid="{00000000-0002-0000-0000-000000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showGridLines="0" topLeftCell="A4" workbookViewId="0">
      <selection activeCell="B11" sqref="B11"/>
    </sheetView>
  </sheetViews>
  <sheetFormatPr defaultRowHeight="13.8"/>
  <cols>
    <col min="1" max="1" width="43" customWidth="1"/>
    <col min="2" max="2" width="23" customWidth="1"/>
    <col min="3" max="3" width="5" customWidth="1"/>
    <col min="4" max="4" width="72" customWidth="1"/>
  </cols>
  <sheetData>
    <row r="1" spans="1:4" ht="25.95" customHeight="1">
      <c r="A1" s="1"/>
      <c r="B1" s="1"/>
      <c r="C1" s="1"/>
      <c r="D1" s="1"/>
    </row>
    <row r="2" spans="1:4" ht="25.95" customHeight="1">
      <c r="A2" s="2" t="s">
        <v>44</v>
      </c>
      <c r="B2" s="1"/>
      <c r="C2" s="1"/>
      <c r="D2" s="1"/>
    </row>
    <row r="3" spans="1:4" ht="25.95" customHeight="1">
      <c r="A3" s="1"/>
      <c r="B3" s="1"/>
      <c r="C3" s="1"/>
      <c r="D3" s="1"/>
    </row>
    <row r="4" spans="1:4" ht="25.95" customHeight="1">
      <c r="A4" s="1" t="s">
        <v>2</v>
      </c>
      <c r="B4" s="10" t="str">
        <f>IF(Summary!B5="","Enter on Summary",Summary!B5)</f>
        <v>Enter on Summary</v>
      </c>
      <c r="C4" s="1"/>
      <c r="D4" s="1"/>
    </row>
    <row r="5" spans="1:4" ht="25.95" customHeight="1">
      <c r="A5" s="1" t="s">
        <v>4</v>
      </c>
      <c r="B5" s="10" t="str">
        <f>Summary!B6</f>
        <v>IQD</v>
      </c>
      <c r="C5" s="1"/>
      <c r="D5" s="1"/>
    </row>
    <row r="6" spans="1:4" ht="25.95" customHeight="1">
      <c r="A6" s="1"/>
      <c r="B6" s="1"/>
      <c r="C6" s="1"/>
      <c r="D6" s="1"/>
    </row>
    <row r="7" spans="1:4" ht="25.95" customHeight="1">
      <c r="A7" s="1" t="s">
        <v>45</v>
      </c>
      <c r="B7" s="1"/>
      <c r="C7" s="1"/>
      <c r="D7" s="1"/>
    </row>
    <row r="8" spans="1:4" ht="25.95" customHeight="1">
      <c r="A8" s="1" t="s">
        <v>46</v>
      </c>
      <c r="B8" s="1"/>
      <c r="C8" s="1"/>
      <c r="D8" s="1"/>
    </row>
    <row r="9" spans="1:4" ht="30" customHeight="1">
      <c r="A9" s="4" t="s">
        <v>47</v>
      </c>
      <c r="B9" s="4" t="s">
        <v>48</v>
      </c>
      <c r="C9" s="1"/>
      <c r="D9" s="11" t="s">
        <v>49</v>
      </c>
    </row>
    <row r="10" spans="1:4" ht="25.95" customHeight="1">
      <c r="A10" s="3" t="s">
        <v>50</v>
      </c>
      <c r="B10" s="12">
        <v>8000000</v>
      </c>
      <c r="C10" s="1"/>
      <c r="D10" s="3" t="s">
        <v>51</v>
      </c>
    </row>
    <row r="11" spans="1:4" ht="25.95" customHeight="1">
      <c r="A11" s="3" t="s">
        <v>52</v>
      </c>
      <c r="B11" s="12"/>
      <c r="C11" s="1"/>
      <c r="D11" s="3" t="s">
        <v>53</v>
      </c>
    </row>
    <row r="12" spans="1:4" ht="25.95" customHeight="1">
      <c r="A12" s="3" t="s">
        <v>54</v>
      </c>
      <c r="B12" s="12"/>
      <c r="C12" s="1"/>
      <c r="D12" s="3" t="s">
        <v>55</v>
      </c>
    </row>
    <row r="13" spans="1:4" ht="25.95" customHeight="1">
      <c r="A13" s="3"/>
      <c r="B13" s="12"/>
      <c r="C13" s="1"/>
      <c r="D13" s="3"/>
    </row>
    <row r="14" spans="1:4" ht="25.95" customHeight="1">
      <c r="A14" s="3"/>
      <c r="B14" s="12"/>
      <c r="C14" s="1"/>
      <c r="D14" s="3"/>
    </row>
    <row r="15" spans="1:4" ht="25.95" customHeight="1">
      <c r="A15" s="3"/>
      <c r="B15" s="12"/>
      <c r="C15" s="1"/>
      <c r="D15" s="3"/>
    </row>
    <row r="16" spans="1:4" ht="25.95" customHeight="1">
      <c r="A16" s="3"/>
      <c r="B16" s="12"/>
      <c r="C16" s="1"/>
      <c r="D16" s="3"/>
    </row>
    <row r="17" spans="1:4" ht="25.95" customHeight="1">
      <c r="A17" s="3"/>
      <c r="B17" s="12"/>
      <c r="C17" s="1"/>
      <c r="D17" s="3"/>
    </row>
    <row r="18" spans="1:4" ht="25.95" customHeight="1">
      <c r="A18" s="3"/>
      <c r="B18" s="12"/>
      <c r="C18" s="1"/>
      <c r="D18" s="3"/>
    </row>
    <row r="19" spans="1:4" ht="25.95" customHeight="1">
      <c r="A19" s="3"/>
      <c r="B19" s="12"/>
      <c r="C19" s="1"/>
      <c r="D19" s="3"/>
    </row>
    <row r="20" spans="1:4" ht="25.95" customHeight="1">
      <c r="A20" s="3"/>
      <c r="B20" s="12"/>
      <c r="C20" s="1"/>
      <c r="D20" s="3"/>
    </row>
    <row r="21" spans="1:4" ht="25.95" customHeight="1">
      <c r="A21" s="3"/>
      <c r="B21" s="12"/>
      <c r="C21" s="1"/>
      <c r="D21" s="3"/>
    </row>
    <row r="22" spans="1:4" ht="25.95" customHeight="1">
      <c r="A22" s="3"/>
      <c r="B22" s="12"/>
      <c r="C22" s="1"/>
      <c r="D22" s="3"/>
    </row>
    <row r="23" spans="1:4" ht="25.95" customHeight="1">
      <c r="A23" s="3"/>
      <c r="B23" s="12"/>
      <c r="C23" s="1"/>
      <c r="D23" s="3"/>
    </row>
    <row r="24" spans="1:4" ht="25.95" customHeight="1">
      <c r="A24" s="3"/>
      <c r="B24" s="12"/>
      <c r="C24" s="1"/>
      <c r="D24" s="3"/>
    </row>
    <row r="25" spans="1:4" ht="25.95" customHeight="1">
      <c r="A25" s="3"/>
      <c r="B25" s="12"/>
      <c r="C25" s="1"/>
      <c r="D25" s="3"/>
    </row>
    <row r="26" spans="1:4" ht="25.95" customHeight="1">
      <c r="A26" s="3"/>
      <c r="B26" s="12"/>
      <c r="C26" s="1"/>
      <c r="D26" s="3"/>
    </row>
    <row r="27" spans="1:4" ht="25.95" customHeight="1">
      <c r="A27" s="3"/>
      <c r="B27" s="12"/>
      <c r="C27" s="1"/>
      <c r="D27" s="3"/>
    </row>
    <row r="28" spans="1:4" ht="25.95" customHeight="1">
      <c r="A28" s="3"/>
      <c r="B28" s="12"/>
      <c r="C28" s="1"/>
      <c r="D28" s="3"/>
    </row>
    <row r="29" spans="1:4" ht="25.95" customHeight="1">
      <c r="A29" s="3"/>
      <c r="B29" s="12"/>
      <c r="C29" s="1"/>
      <c r="D29" s="3"/>
    </row>
    <row r="30" spans="1:4" ht="25.95" customHeight="1">
      <c r="A30" s="1"/>
      <c r="B30" s="5"/>
      <c r="C30" s="1"/>
      <c r="D30" s="1"/>
    </row>
    <row r="31" spans="1:4" ht="25.95" customHeight="1">
      <c r="A31" s="8" t="s">
        <v>10</v>
      </c>
      <c r="B31" s="9">
        <f>SUM(B10:B29)</f>
        <v>8000000</v>
      </c>
      <c r="C31" s="1"/>
      <c r="D31" s="1"/>
    </row>
    <row r="32" spans="1:4" ht="25.95" customHeight="1">
      <c r="A32" s="1"/>
      <c r="B32" s="1"/>
      <c r="C32" s="1"/>
      <c r="D32" s="1"/>
    </row>
    <row r="33" spans="1:4" ht="25.95" customHeight="1">
      <c r="A33" s="1" t="s">
        <v>56</v>
      </c>
      <c r="B33" s="1"/>
      <c r="C33" s="1"/>
      <c r="D33" s="1"/>
    </row>
    <row r="34" spans="1:4" ht="25.95" customHeight="1">
      <c r="A34" s="1"/>
      <c r="B34" s="1"/>
      <c r="C34" s="1"/>
      <c r="D34" s="1"/>
    </row>
  </sheetData>
  <dataValidations count="1">
    <dataValidation type="decimal" operator="greaterThanOrEqual" sqref="B10:B29" xr:uid="{00000000-0002-0000-0100-000000000000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showGridLines="0" tabSelected="1" topLeftCell="A4" workbookViewId="0">
      <selection activeCell="B15" sqref="B15"/>
    </sheetView>
  </sheetViews>
  <sheetFormatPr defaultRowHeight="13.8"/>
  <cols>
    <col min="1" max="1" width="43" customWidth="1"/>
    <col min="2" max="2" width="23" customWidth="1"/>
    <col min="3" max="3" width="5" customWidth="1"/>
    <col min="4" max="4" width="72" customWidth="1"/>
  </cols>
  <sheetData>
    <row r="1" spans="1:4" ht="25.95" customHeight="1">
      <c r="A1" s="1"/>
      <c r="B1" s="1"/>
      <c r="C1" s="1"/>
      <c r="D1" s="1"/>
    </row>
    <row r="2" spans="1:4" ht="25.95" customHeight="1">
      <c r="A2" s="2" t="s">
        <v>57</v>
      </c>
      <c r="B2" s="1"/>
      <c r="C2" s="1"/>
      <c r="D2" s="1"/>
    </row>
    <row r="3" spans="1:4" ht="25.95" customHeight="1">
      <c r="A3" s="1"/>
      <c r="B3" s="1"/>
      <c r="C3" s="1"/>
      <c r="D3" s="1"/>
    </row>
    <row r="4" spans="1:4" ht="25.95" customHeight="1">
      <c r="A4" s="1" t="s">
        <v>2</v>
      </c>
      <c r="B4" s="10" t="str">
        <f>IF(Summary!B5="","Enter on Summary",Summary!B5)</f>
        <v>Enter on Summary</v>
      </c>
      <c r="C4" s="1"/>
      <c r="D4" s="1"/>
    </row>
    <row r="5" spans="1:4" ht="25.95" customHeight="1">
      <c r="A5" s="1" t="s">
        <v>4</v>
      </c>
      <c r="B5" s="10" t="str">
        <f>Summary!B6</f>
        <v>IQD</v>
      </c>
      <c r="C5" s="1"/>
      <c r="D5" s="1"/>
    </row>
    <row r="6" spans="1:4" ht="25.95" customHeight="1">
      <c r="A6" s="1"/>
      <c r="B6" s="1"/>
      <c r="C6" s="1"/>
      <c r="D6" s="1"/>
    </row>
    <row r="7" spans="1:4" ht="25.95" customHeight="1">
      <c r="A7" s="1" t="s">
        <v>58</v>
      </c>
      <c r="B7" s="1"/>
      <c r="C7" s="1"/>
      <c r="D7" s="1"/>
    </row>
    <row r="8" spans="1:4" ht="25.95" customHeight="1">
      <c r="A8" s="1" t="s">
        <v>46</v>
      </c>
      <c r="B8" s="1"/>
      <c r="C8" s="1"/>
      <c r="D8" s="1"/>
    </row>
    <row r="9" spans="1:4" ht="30" customHeight="1">
      <c r="A9" s="4" t="s">
        <v>47</v>
      </c>
      <c r="B9" s="4" t="s">
        <v>48</v>
      </c>
      <c r="C9" s="1"/>
      <c r="D9" s="11" t="s">
        <v>49</v>
      </c>
    </row>
    <row r="10" spans="1:4" ht="25.95" customHeight="1">
      <c r="A10" s="3" t="s">
        <v>59</v>
      </c>
      <c r="B10" s="12">
        <v>3000000</v>
      </c>
      <c r="C10" s="1"/>
      <c r="D10" s="3" t="s">
        <v>60</v>
      </c>
    </row>
    <row r="11" spans="1:4" ht="25.95" customHeight="1">
      <c r="A11" s="3" t="s">
        <v>112</v>
      </c>
      <c r="B11" s="12"/>
      <c r="C11" s="1"/>
      <c r="D11" s="3" t="s">
        <v>61</v>
      </c>
    </row>
    <row r="12" spans="1:4" ht="25.95" customHeight="1">
      <c r="A12" s="3" t="s">
        <v>62</v>
      </c>
      <c r="B12" s="12"/>
      <c r="C12" s="1"/>
      <c r="D12" s="3" t="s">
        <v>63</v>
      </c>
    </row>
    <row r="13" spans="1:4" ht="25.95" customHeight="1">
      <c r="A13" s="3" t="s">
        <v>64</v>
      </c>
      <c r="B13" s="12"/>
      <c r="C13" s="1"/>
      <c r="D13" s="3" t="s">
        <v>65</v>
      </c>
    </row>
    <row r="14" spans="1:4" ht="25.95" customHeight="1">
      <c r="A14" s="3" t="s">
        <v>66</v>
      </c>
      <c r="B14" s="12"/>
      <c r="C14" s="1"/>
      <c r="D14" s="3" t="s">
        <v>67</v>
      </c>
    </row>
    <row r="15" spans="1:4" ht="25.95" customHeight="1">
      <c r="A15" s="3"/>
      <c r="B15" s="12"/>
      <c r="C15" s="1"/>
      <c r="D15" s="3"/>
    </row>
    <row r="16" spans="1:4" ht="25.95" customHeight="1">
      <c r="A16" s="3"/>
      <c r="B16" s="12"/>
      <c r="C16" s="1"/>
      <c r="D16" s="3"/>
    </row>
    <row r="17" spans="1:4" ht="25.95" customHeight="1">
      <c r="A17" s="3"/>
      <c r="B17" s="12"/>
      <c r="C17" s="1"/>
      <c r="D17" s="3"/>
    </row>
    <row r="18" spans="1:4" ht="25.95" customHeight="1">
      <c r="A18" s="3"/>
      <c r="B18" s="12"/>
      <c r="C18" s="1"/>
      <c r="D18" s="3"/>
    </row>
    <row r="19" spans="1:4" ht="25.95" customHeight="1">
      <c r="A19" s="3"/>
      <c r="B19" s="12"/>
      <c r="C19" s="1"/>
      <c r="D19" s="3"/>
    </row>
    <row r="20" spans="1:4" ht="25.95" customHeight="1">
      <c r="A20" s="3"/>
      <c r="B20" s="12"/>
      <c r="C20" s="1"/>
      <c r="D20" s="3"/>
    </row>
    <row r="21" spans="1:4" ht="25.95" customHeight="1">
      <c r="A21" s="3"/>
      <c r="B21" s="12"/>
      <c r="C21" s="1"/>
      <c r="D21" s="3"/>
    </row>
    <row r="22" spans="1:4" ht="25.95" customHeight="1">
      <c r="A22" s="3"/>
      <c r="B22" s="12"/>
      <c r="C22" s="1"/>
      <c r="D22" s="3"/>
    </row>
    <row r="23" spans="1:4" ht="25.95" customHeight="1">
      <c r="A23" s="3"/>
      <c r="B23" s="12"/>
      <c r="C23" s="1"/>
      <c r="D23" s="3"/>
    </row>
    <row r="24" spans="1:4" ht="25.95" customHeight="1">
      <c r="A24" s="3"/>
      <c r="B24" s="12"/>
      <c r="C24" s="1"/>
      <c r="D24" s="3"/>
    </row>
    <row r="25" spans="1:4" ht="25.95" customHeight="1">
      <c r="A25" s="3"/>
      <c r="B25" s="12"/>
      <c r="C25" s="1"/>
      <c r="D25" s="3"/>
    </row>
    <row r="26" spans="1:4" ht="25.95" customHeight="1">
      <c r="A26" s="3"/>
      <c r="B26" s="12"/>
      <c r="C26" s="1"/>
      <c r="D26" s="3"/>
    </row>
    <row r="27" spans="1:4" ht="25.95" customHeight="1">
      <c r="A27" s="3"/>
      <c r="B27" s="12"/>
      <c r="C27" s="1"/>
      <c r="D27" s="3"/>
    </row>
    <row r="28" spans="1:4" ht="25.95" customHeight="1">
      <c r="A28" s="3"/>
      <c r="B28" s="12"/>
      <c r="C28" s="1"/>
      <c r="D28" s="3"/>
    </row>
    <row r="29" spans="1:4" ht="25.95" customHeight="1">
      <c r="A29" s="3"/>
      <c r="B29" s="12"/>
      <c r="C29" s="1"/>
      <c r="D29" s="3"/>
    </row>
    <row r="30" spans="1:4" ht="25.95" customHeight="1">
      <c r="A30" s="1"/>
      <c r="B30" s="5"/>
      <c r="C30" s="1"/>
      <c r="D30" s="1"/>
    </row>
    <row r="31" spans="1:4" ht="25.95" customHeight="1">
      <c r="A31" s="8" t="s">
        <v>68</v>
      </c>
      <c r="B31" s="9">
        <f>SUM(B10:B29)</f>
        <v>3000000</v>
      </c>
      <c r="C31" s="1"/>
      <c r="D31" s="1"/>
    </row>
    <row r="32" spans="1:4" ht="25.95" customHeight="1">
      <c r="A32" s="1"/>
      <c r="B32" s="1"/>
      <c r="C32" s="1"/>
      <c r="D32" s="1"/>
    </row>
    <row r="33" spans="1:4" ht="25.95" customHeight="1">
      <c r="A33" s="1" t="s">
        <v>56</v>
      </c>
      <c r="B33" s="1"/>
      <c r="C33" s="1"/>
      <c r="D33" s="1"/>
    </row>
    <row r="34" spans="1:4" ht="25.95" customHeight="1">
      <c r="A34" s="1"/>
      <c r="B34" s="1"/>
      <c r="C34" s="1"/>
      <c r="D34" s="1"/>
    </row>
  </sheetData>
  <dataValidations count="1">
    <dataValidation type="decimal" operator="greaterThanOrEqual" sqref="B10:B29" xr:uid="{00000000-0002-0000-0200-000000000000}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showGridLines="0" topLeftCell="A4" workbookViewId="0">
      <selection activeCell="B22" sqref="B22"/>
    </sheetView>
  </sheetViews>
  <sheetFormatPr defaultRowHeight="13.8"/>
  <cols>
    <col min="1" max="1" width="43" customWidth="1"/>
    <col min="2" max="2" width="23" customWidth="1"/>
    <col min="3" max="3" width="5" customWidth="1"/>
    <col min="4" max="4" width="72" customWidth="1"/>
  </cols>
  <sheetData>
    <row r="1" spans="1:4" ht="25.95" customHeight="1">
      <c r="A1" s="1"/>
      <c r="B1" s="1"/>
      <c r="C1" s="1"/>
      <c r="D1" s="1"/>
    </row>
    <row r="2" spans="1:4" ht="25.95" customHeight="1">
      <c r="A2" s="2" t="s">
        <v>69</v>
      </c>
      <c r="B2" s="1"/>
      <c r="C2" s="1"/>
      <c r="D2" s="1"/>
    </row>
    <row r="3" spans="1:4" ht="25.95" customHeight="1">
      <c r="A3" s="1"/>
      <c r="B3" s="1"/>
      <c r="C3" s="1"/>
      <c r="D3" s="1"/>
    </row>
    <row r="4" spans="1:4" ht="25.95" customHeight="1">
      <c r="A4" s="1" t="s">
        <v>2</v>
      </c>
      <c r="B4" s="10" t="str">
        <f>IF(Summary!B5="","Enter on Summary",Summary!B5)</f>
        <v>Enter on Summary</v>
      </c>
      <c r="C4" s="1"/>
      <c r="D4" s="1"/>
    </row>
    <row r="5" spans="1:4" ht="25.95" customHeight="1">
      <c r="A5" s="1" t="s">
        <v>4</v>
      </c>
      <c r="B5" s="10" t="str">
        <f>Summary!B6</f>
        <v>IQD</v>
      </c>
      <c r="C5" s="1"/>
      <c r="D5" s="1"/>
    </row>
    <row r="6" spans="1:4" ht="25.95" customHeight="1">
      <c r="A6" s="1"/>
      <c r="B6" s="1"/>
      <c r="C6" s="1"/>
      <c r="D6" s="1"/>
    </row>
    <row r="7" spans="1:4" ht="25.95" customHeight="1">
      <c r="A7" s="1" t="s">
        <v>58</v>
      </c>
      <c r="B7" s="1"/>
      <c r="C7" s="1"/>
      <c r="D7" s="1"/>
    </row>
    <row r="8" spans="1:4" ht="25.95" customHeight="1">
      <c r="A8" s="1" t="s">
        <v>46</v>
      </c>
      <c r="B8" s="1"/>
      <c r="C8" s="1"/>
      <c r="D8" s="1"/>
    </row>
    <row r="9" spans="1:4" ht="30" customHeight="1">
      <c r="A9" s="4" t="s">
        <v>47</v>
      </c>
      <c r="B9" s="4" t="s">
        <v>48</v>
      </c>
      <c r="C9" s="1"/>
      <c r="D9" s="11" t="s">
        <v>49</v>
      </c>
    </row>
    <row r="10" spans="1:4" ht="25.95" customHeight="1">
      <c r="A10" s="3" t="s">
        <v>70</v>
      </c>
      <c r="B10" s="12">
        <v>2500000</v>
      </c>
      <c r="C10" s="1"/>
      <c r="D10" s="3" t="s">
        <v>111</v>
      </c>
    </row>
    <row r="11" spans="1:4" ht="25.95" customHeight="1">
      <c r="A11" s="3" t="s">
        <v>71</v>
      </c>
      <c r="B11" s="12"/>
      <c r="C11" s="1"/>
      <c r="D11" s="3" t="s">
        <v>72</v>
      </c>
    </row>
    <row r="12" spans="1:4" ht="25.95" customHeight="1">
      <c r="A12" s="3" t="s">
        <v>73</v>
      </c>
      <c r="B12" s="12"/>
      <c r="C12" s="1"/>
      <c r="D12" s="3" t="s">
        <v>74</v>
      </c>
    </row>
    <row r="13" spans="1:4" ht="25.95" customHeight="1">
      <c r="A13" s="3" t="s">
        <v>75</v>
      </c>
      <c r="B13" s="12"/>
      <c r="C13" s="1"/>
      <c r="D13" s="3" t="s">
        <v>76</v>
      </c>
    </row>
    <row r="14" spans="1:4" ht="25.95" customHeight="1">
      <c r="A14" s="3" t="s">
        <v>77</v>
      </c>
      <c r="B14" s="12"/>
      <c r="C14" s="1"/>
      <c r="D14" s="3" t="s">
        <v>78</v>
      </c>
    </row>
    <row r="15" spans="1:4" ht="25.95" customHeight="1">
      <c r="A15" s="3" t="s">
        <v>79</v>
      </c>
      <c r="B15" s="12"/>
      <c r="C15" s="1"/>
      <c r="D15" s="3" t="s">
        <v>80</v>
      </c>
    </row>
    <row r="16" spans="1:4" ht="25.95" customHeight="1">
      <c r="A16" s="3" t="s">
        <v>81</v>
      </c>
      <c r="B16" s="12"/>
      <c r="C16" s="1"/>
      <c r="D16" s="3" t="s">
        <v>82</v>
      </c>
    </row>
    <row r="17" spans="1:4" ht="25.95" customHeight="1">
      <c r="A17" s="3" t="s">
        <v>83</v>
      </c>
      <c r="B17" s="12"/>
      <c r="C17" s="1"/>
      <c r="D17" s="3" t="s">
        <v>84</v>
      </c>
    </row>
    <row r="18" spans="1:4" ht="25.95" customHeight="1">
      <c r="A18" s="3" t="s">
        <v>85</v>
      </c>
      <c r="B18" s="12"/>
      <c r="C18" s="1"/>
      <c r="D18" s="3" t="s">
        <v>86</v>
      </c>
    </row>
    <row r="19" spans="1:4" ht="25.95" customHeight="1">
      <c r="A19" s="3" t="s">
        <v>87</v>
      </c>
      <c r="B19" s="12"/>
      <c r="C19" s="1"/>
      <c r="D19" s="3" t="s">
        <v>88</v>
      </c>
    </row>
    <row r="20" spans="1:4" ht="25.95" customHeight="1">
      <c r="A20" s="3" t="s">
        <v>89</v>
      </c>
      <c r="B20" s="12"/>
      <c r="C20" s="1"/>
      <c r="D20" s="3" t="s">
        <v>90</v>
      </c>
    </row>
    <row r="21" spans="1:4" ht="25.95" customHeight="1">
      <c r="A21" s="3" t="s">
        <v>91</v>
      </c>
      <c r="B21" s="12"/>
      <c r="C21" s="1"/>
      <c r="D21" s="3" t="s">
        <v>92</v>
      </c>
    </row>
    <row r="22" spans="1:4" ht="25.95" customHeight="1">
      <c r="A22" s="3" t="s">
        <v>93</v>
      </c>
      <c r="B22" s="12"/>
      <c r="C22" s="1"/>
      <c r="D22" s="3" t="s">
        <v>94</v>
      </c>
    </row>
    <row r="23" spans="1:4" ht="25.95" customHeight="1">
      <c r="A23" s="3"/>
      <c r="B23" s="12"/>
      <c r="C23" s="1"/>
      <c r="D23" s="3"/>
    </row>
    <row r="24" spans="1:4" ht="25.95" customHeight="1">
      <c r="A24" s="3"/>
      <c r="B24" s="12"/>
      <c r="C24" s="1"/>
      <c r="D24" s="3"/>
    </row>
    <row r="25" spans="1:4" ht="25.95" customHeight="1">
      <c r="A25" s="3"/>
      <c r="B25" s="12"/>
      <c r="C25" s="1"/>
      <c r="D25" s="3"/>
    </row>
    <row r="26" spans="1:4" ht="25.95" customHeight="1">
      <c r="A26" s="3"/>
      <c r="B26" s="12"/>
      <c r="C26" s="1"/>
      <c r="D26" s="3"/>
    </row>
    <row r="27" spans="1:4" ht="25.95" customHeight="1">
      <c r="A27" s="3"/>
      <c r="B27" s="12"/>
      <c r="C27" s="1"/>
      <c r="D27" s="3"/>
    </row>
    <row r="28" spans="1:4" ht="25.95" customHeight="1">
      <c r="A28" s="3"/>
      <c r="B28" s="12"/>
      <c r="C28" s="1"/>
      <c r="D28" s="3"/>
    </row>
    <row r="29" spans="1:4" ht="25.95" customHeight="1">
      <c r="A29" s="3"/>
      <c r="B29" s="12"/>
      <c r="C29" s="1"/>
      <c r="D29" s="3"/>
    </row>
    <row r="30" spans="1:4" ht="25.95" customHeight="1">
      <c r="A30" s="1"/>
      <c r="B30" s="5"/>
      <c r="C30" s="1"/>
      <c r="D30" s="1"/>
    </row>
    <row r="31" spans="1:4" ht="25.95" customHeight="1">
      <c r="A31" s="8" t="s">
        <v>95</v>
      </c>
      <c r="B31" s="9">
        <f>SUM(B10:B29)</f>
        <v>2500000</v>
      </c>
      <c r="C31" s="1"/>
      <c r="D31" s="1"/>
    </row>
    <row r="32" spans="1:4" ht="25.95" customHeight="1">
      <c r="A32" s="1"/>
      <c r="B32" s="1"/>
      <c r="C32" s="1"/>
      <c r="D32" s="1"/>
    </row>
    <row r="33" spans="1:4" ht="25.95" customHeight="1">
      <c r="A33" s="1" t="s">
        <v>56</v>
      </c>
      <c r="B33" s="1"/>
      <c r="C33" s="1"/>
      <c r="D33" s="1"/>
    </row>
    <row r="34" spans="1:4" ht="25.95" customHeight="1">
      <c r="A34" s="1" t="s">
        <v>96</v>
      </c>
      <c r="B34" s="1"/>
      <c r="C34" s="1"/>
      <c r="D34" s="1"/>
    </row>
  </sheetData>
  <dataValidations count="1">
    <dataValidation type="decimal" operator="greaterThanOrEqual" sqref="B10:B29" xr:uid="{00000000-0002-0000-0300-000000000000}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showGridLines="0" topLeftCell="A7" workbookViewId="0">
      <selection activeCell="C12" sqref="C12"/>
    </sheetView>
  </sheetViews>
  <sheetFormatPr defaultRowHeight="13.8"/>
  <cols>
    <col min="1" max="1" width="32" customWidth="1"/>
    <col min="2" max="2" width="15" customWidth="1"/>
    <col min="3" max="3" width="22" customWidth="1"/>
    <col min="4" max="4" width="24" customWidth="1"/>
    <col min="5" max="5" width="70" customWidth="1"/>
  </cols>
  <sheetData>
    <row r="1" spans="1:5" ht="27" customHeight="1">
      <c r="A1" s="1"/>
      <c r="B1" s="1"/>
      <c r="C1" s="1"/>
      <c r="D1" s="1"/>
      <c r="E1" s="1"/>
    </row>
    <row r="2" spans="1:5" ht="27" customHeight="1">
      <c r="A2" s="2" t="s">
        <v>34</v>
      </c>
      <c r="B2" s="1"/>
      <c r="C2" s="1"/>
      <c r="D2" s="1"/>
      <c r="E2" s="1"/>
    </row>
    <row r="3" spans="1:5" ht="27" customHeight="1">
      <c r="A3" s="1"/>
      <c r="B3" s="1"/>
      <c r="C3" s="1"/>
      <c r="D3" s="1"/>
      <c r="E3" s="1"/>
    </row>
    <row r="4" spans="1:5" ht="27" customHeight="1">
      <c r="A4" s="1" t="s">
        <v>2</v>
      </c>
      <c r="B4" s="10" t="str">
        <f>IF(Summary!B5="","Enter on Summary",Summary!B5)</f>
        <v>Enter on Summary</v>
      </c>
      <c r="C4" s="1"/>
      <c r="D4" s="1"/>
      <c r="E4" s="1"/>
    </row>
    <row r="5" spans="1:5" ht="27" customHeight="1">
      <c r="A5" s="1" t="s">
        <v>4</v>
      </c>
      <c r="B5" s="10" t="str">
        <f>Summary!B6</f>
        <v>IQD</v>
      </c>
      <c r="C5" s="1"/>
      <c r="D5" s="1"/>
      <c r="E5" s="1"/>
    </row>
    <row r="6" spans="1:5" ht="27" customHeight="1">
      <c r="A6" s="1"/>
      <c r="B6" s="1"/>
      <c r="C6" s="1"/>
      <c r="D6" s="1"/>
      <c r="E6" s="1"/>
    </row>
    <row r="7" spans="1:5" ht="27" customHeight="1">
      <c r="A7" s="1" t="s">
        <v>97</v>
      </c>
      <c r="B7" s="1"/>
      <c r="C7" s="1"/>
      <c r="D7" s="1"/>
      <c r="E7" s="1"/>
    </row>
    <row r="8" spans="1:5" ht="27" customHeight="1">
      <c r="A8" s="1" t="s">
        <v>98</v>
      </c>
      <c r="B8" s="1"/>
      <c r="C8" s="1"/>
      <c r="D8" s="1"/>
      <c r="E8" s="1"/>
    </row>
    <row r="9" spans="1:5" ht="27" customHeight="1">
      <c r="A9" s="1"/>
      <c r="B9" s="1"/>
      <c r="C9" s="1"/>
      <c r="D9" s="1"/>
      <c r="E9" s="1"/>
    </row>
    <row r="10" spans="1:5" ht="36" customHeight="1">
      <c r="A10" s="14" t="s">
        <v>99</v>
      </c>
      <c r="B10" s="14" t="s">
        <v>100</v>
      </c>
      <c r="C10" s="14" t="s">
        <v>101</v>
      </c>
      <c r="D10" s="14" t="s">
        <v>102</v>
      </c>
      <c r="E10" s="14" t="s">
        <v>103</v>
      </c>
    </row>
    <row r="11" spans="1:5" ht="27" customHeight="1">
      <c r="A11" s="15" t="s">
        <v>109</v>
      </c>
      <c r="B11" s="17">
        <v>2</v>
      </c>
      <c r="C11" s="16">
        <f>1000*1500</f>
        <v>1500000</v>
      </c>
      <c r="D11" s="5">
        <f t="shared" ref="D11:D25" si="0">IF(COUNTA(A11:C11,E11)=0,"",IF(OR(A11="",B11="",C11="",E11=""),"Complete row",B11*C11))</f>
        <v>3000000</v>
      </c>
      <c r="E11" s="15" t="s">
        <v>110</v>
      </c>
    </row>
    <row r="12" spans="1:5" ht="27" customHeight="1">
      <c r="A12" s="15"/>
      <c r="B12" s="17"/>
      <c r="C12" s="16"/>
      <c r="D12" s="5" t="str">
        <f t="shared" si="0"/>
        <v/>
      </c>
      <c r="E12" s="15"/>
    </row>
    <row r="13" spans="1:5" ht="27" customHeight="1">
      <c r="A13" s="15"/>
      <c r="B13" s="17"/>
      <c r="C13" s="16"/>
      <c r="D13" s="5" t="str">
        <f t="shared" si="0"/>
        <v/>
      </c>
      <c r="E13" s="15"/>
    </row>
    <row r="14" spans="1:5" ht="27" customHeight="1">
      <c r="A14" s="15"/>
      <c r="B14" s="17"/>
      <c r="C14" s="16"/>
      <c r="D14" s="5" t="str">
        <f t="shared" si="0"/>
        <v/>
      </c>
      <c r="E14" s="15"/>
    </row>
    <row r="15" spans="1:5" ht="27" customHeight="1">
      <c r="A15" s="15"/>
      <c r="B15" s="17"/>
      <c r="C15" s="16"/>
      <c r="D15" s="5" t="str">
        <f t="shared" si="0"/>
        <v/>
      </c>
      <c r="E15" s="15"/>
    </row>
    <row r="16" spans="1:5" ht="27" customHeight="1">
      <c r="A16" s="15"/>
      <c r="B16" s="17"/>
      <c r="C16" s="16"/>
      <c r="D16" s="5" t="str">
        <f t="shared" si="0"/>
        <v/>
      </c>
      <c r="E16" s="15"/>
    </row>
    <row r="17" spans="1:5" ht="27" customHeight="1">
      <c r="A17" s="15"/>
      <c r="B17" s="17"/>
      <c r="C17" s="16"/>
      <c r="D17" s="5" t="str">
        <f t="shared" si="0"/>
        <v/>
      </c>
      <c r="E17" s="15"/>
    </row>
    <row r="18" spans="1:5" ht="27" customHeight="1">
      <c r="A18" s="15"/>
      <c r="B18" s="17"/>
      <c r="C18" s="16"/>
      <c r="D18" s="5" t="str">
        <f t="shared" si="0"/>
        <v/>
      </c>
      <c r="E18" s="15"/>
    </row>
    <row r="19" spans="1:5" ht="27" customHeight="1">
      <c r="A19" s="15"/>
      <c r="B19" s="17"/>
      <c r="C19" s="16"/>
      <c r="D19" s="5" t="str">
        <f t="shared" si="0"/>
        <v/>
      </c>
      <c r="E19" s="15"/>
    </row>
    <row r="20" spans="1:5" ht="27" customHeight="1">
      <c r="A20" s="15"/>
      <c r="B20" s="17"/>
      <c r="C20" s="16"/>
      <c r="D20" s="5" t="str">
        <f t="shared" si="0"/>
        <v/>
      </c>
      <c r="E20" s="15"/>
    </row>
    <row r="21" spans="1:5" ht="27" customHeight="1">
      <c r="A21" s="15"/>
      <c r="B21" s="17"/>
      <c r="C21" s="16"/>
      <c r="D21" s="5" t="str">
        <f t="shared" si="0"/>
        <v/>
      </c>
      <c r="E21" s="15"/>
    </row>
    <row r="22" spans="1:5" ht="27" customHeight="1">
      <c r="A22" s="15"/>
      <c r="B22" s="17"/>
      <c r="C22" s="16"/>
      <c r="D22" s="5" t="str">
        <f t="shared" si="0"/>
        <v/>
      </c>
      <c r="E22" s="15"/>
    </row>
    <row r="23" spans="1:5" ht="27" customHeight="1">
      <c r="A23" s="15"/>
      <c r="B23" s="17"/>
      <c r="C23" s="16"/>
      <c r="D23" s="5" t="str">
        <f t="shared" si="0"/>
        <v/>
      </c>
      <c r="E23" s="15"/>
    </row>
    <row r="24" spans="1:5" ht="27" customHeight="1">
      <c r="A24" s="15"/>
      <c r="B24" s="17"/>
      <c r="C24" s="16"/>
      <c r="D24" s="5" t="str">
        <f t="shared" si="0"/>
        <v/>
      </c>
      <c r="E24" s="15"/>
    </row>
    <row r="25" spans="1:5" ht="27" customHeight="1">
      <c r="A25" s="15"/>
      <c r="B25" s="17"/>
      <c r="C25" s="16"/>
      <c r="D25" s="5" t="str">
        <f t="shared" si="0"/>
        <v/>
      </c>
      <c r="E25" s="15"/>
    </row>
    <row r="26" spans="1:5" ht="27" customHeight="1">
      <c r="A26" s="1"/>
      <c r="B26" s="1"/>
      <c r="C26" s="5"/>
      <c r="D26" s="5"/>
      <c r="E26" s="1"/>
    </row>
    <row r="27" spans="1:5" ht="27" customHeight="1">
      <c r="A27" s="18" t="s">
        <v>104</v>
      </c>
      <c r="B27" s="18"/>
      <c r="C27" s="19"/>
      <c r="D27" s="19">
        <f>IF(COUNTIFS(D11:D25,"Complete row")&gt;0,"Complete asset rows",SUM(D11:D25))</f>
        <v>3000000</v>
      </c>
      <c r="E27" s="18"/>
    </row>
    <row r="28" spans="1:5" ht="27" customHeight="1">
      <c r="A28" s="1"/>
      <c r="B28" s="1"/>
      <c r="C28" s="1"/>
      <c r="D28" s="1"/>
      <c r="E28" s="1"/>
    </row>
    <row r="29" spans="1:5" ht="27" customHeight="1">
      <c r="A29" s="1" t="s">
        <v>105</v>
      </c>
      <c r="B29" s="1"/>
      <c r="C29" s="1"/>
      <c r="D29" s="1"/>
      <c r="E29" s="1"/>
    </row>
    <row r="30" spans="1:5" ht="27" customHeight="1">
      <c r="A30" s="1" t="s">
        <v>106</v>
      </c>
      <c r="B30" s="1"/>
      <c r="C30" s="1"/>
      <c r="D30" s="1"/>
      <c r="E30" s="1"/>
    </row>
    <row r="31" spans="1:5" ht="27" customHeight="1">
      <c r="A31" s="1" t="s">
        <v>107</v>
      </c>
      <c r="B31" s="1"/>
      <c r="C31" s="1"/>
      <c r="D31" s="1"/>
      <c r="E31" s="1"/>
    </row>
    <row r="32" spans="1:5" ht="27" customHeight="1">
      <c r="A32" s="1" t="s">
        <v>108</v>
      </c>
      <c r="B32" s="1"/>
      <c r="C32" s="1"/>
      <c r="D32" s="1"/>
      <c r="E32" s="1"/>
    </row>
  </sheetData>
  <dataValidations count="2">
    <dataValidation type="whole" operator="greaterThan" sqref="B11:B25" xr:uid="{00000000-0002-0000-0400-000000000000}">
      <formula1>0</formula1>
    </dataValidation>
    <dataValidation type="decimal" operator="greaterThanOrEqual" sqref="C11:C25" xr:uid="{00000000-0002-0000-0400-000001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Revenue</vt:lpstr>
      <vt:lpstr>Direct Costs</vt:lpstr>
      <vt:lpstr>Indirect Expenses</vt:lpstr>
      <vt:lpstr>Asset 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 Technology</dc:creator>
  <cp:lastModifiedBy>Lord Technology</cp:lastModifiedBy>
  <dcterms:created xsi:type="dcterms:W3CDTF">2026-10-05T20:59:53Z</dcterms:created>
  <dcterms:modified xsi:type="dcterms:W3CDTF">2026-10-06T14:03:42Z</dcterms:modified>
</cp:coreProperties>
</file>