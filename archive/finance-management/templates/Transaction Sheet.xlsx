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Java\Desktop\AUK Training\Capa\"/>
    </mc:Choice>
  </mc:AlternateContent>
  <xr:revisionPtr revIDLastSave="0" documentId="8_{F86A9D4F-22C9-41E5-BEDD-3FFAB5992F32}" xr6:coauthVersionLast="41" xr6:coauthVersionMax="41" xr10:uidLastSave="{00000000-0000-0000-0000-000000000000}"/>
  <bookViews>
    <workbookView xWindow="-108" yWindow="-108" windowWidth="23256" windowHeight="12456" tabRatio="500" xr2:uid="{00000000-000D-0000-FFFF-FFFF00000000}"/>
  </bookViews>
  <sheets>
    <sheet name="Example" sheetId="1" r:id="rId1"/>
    <sheet name="My Transactions" sheetId="2" r:id="rId2"/>
  </sheets>
  <definedNames>
    <definedName name="_xlnm.Print_Titles" localSheetId="0">Example!$5:$5</definedName>
    <definedName name="_xlnm.Print_Titles" localSheetId="1">'My Transactions'!$5:$5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" i="2" l="1"/>
  <c r="E44" i="2" s="1"/>
  <c r="C38" i="2"/>
  <c r="E37" i="2"/>
  <c r="E36" i="2"/>
  <c r="E35" i="2"/>
  <c r="E34" i="2"/>
  <c r="E33" i="2"/>
  <c r="E32" i="2"/>
  <c r="E31" i="2"/>
  <c r="E30" i="2"/>
  <c r="E28" i="2"/>
  <c r="D28" i="2"/>
  <c r="E42" i="2" s="1"/>
  <c r="C28" i="2"/>
  <c r="E27" i="2"/>
  <c r="E26" i="2"/>
  <c r="E25" i="2"/>
  <c r="E24" i="2"/>
  <c r="E23" i="2"/>
  <c r="E22" i="2"/>
  <c r="E21" i="2"/>
  <c r="E20" i="2"/>
  <c r="E18" i="2"/>
  <c r="D18" i="2"/>
  <c r="C18" i="2"/>
  <c r="E41" i="2" s="1"/>
  <c r="E43" i="2" s="1"/>
  <c r="E45" i="2" s="1"/>
  <c r="E46" i="2" s="1"/>
  <c r="E17" i="2"/>
  <c r="E16" i="2"/>
  <c r="E15" i="2"/>
  <c r="E14" i="2"/>
  <c r="E13" i="2"/>
  <c r="E12" i="2"/>
  <c r="E11" i="2"/>
  <c r="E10" i="2"/>
  <c r="E9" i="2"/>
  <c r="E8" i="2"/>
  <c r="E42" i="1"/>
  <c r="D38" i="1"/>
  <c r="E44" i="1" s="1"/>
  <c r="C38" i="1"/>
  <c r="E37" i="1"/>
  <c r="E36" i="1"/>
  <c r="E35" i="1"/>
  <c r="E34" i="1"/>
  <c r="E30" i="1"/>
  <c r="D28" i="1"/>
  <c r="C28" i="1"/>
  <c r="E27" i="1"/>
  <c r="E26" i="1"/>
  <c r="E25" i="1"/>
  <c r="E23" i="1"/>
  <c r="D18" i="1"/>
  <c r="C18" i="1"/>
  <c r="E31" i="1" s="1"/>
  <c r="E17" i="1"/>
  <c r="E16" i="1"/>
  <c r="E15" i="1"/>
  <c r="E14" i="1"/>
  <c r="E13" i="1"/>
  <c r="E12" i="1"/>
  <c r="E11" i="1"/>
  <c r="E10" i="1"/>
  <c r="E9" i="1"/>
  <c r="E8" i="1"/>
  <c r="E32" i="1" l="1"/>
  <c r="E38" i="1"/>
  <c r="E33" i="1"/>
  <c r="E41" i="1"/>
  <c r="E43" i="1" s="1"/>
  <c r="E45" i="1" s="1"/>
  <c r="E46" i="1" s="1"/>
  <c r="E38" i="2"/>
  <c r="E18" i="1"/>
  <c r="E20" i="1"/>
  <c r="E21" i="1"/>
  <c r="E22" i="1"/>
  <c r="E28" i="1"/>
  <c r="E24" i="1"/>
</calcChain>
</file>

<file path=xl/sharedStrings.xml><?xml version="1.0" encoding="utf-8"?>
<sst xmlns="http://schemas.openxmlformats.org/spreadsheetml/2006/main" count="60" uniqueCount="37">
  <si>
    <t>Business Transaction Sheet</t>
  </si>
  <si>
    <t>Business name and month:</t>
  </si>
  <si>
    <t>Sweet Corner Bakery, September 2026</t>
  </si>
  <si>
    <t>How to use: type only in the blue cells (yellow = fill in first). Sales go in Money In; expenses go in Money Out. Balance runs down the sheet: sales first, then direct expenses, then indirect expenses. Use any currency. The numbers on this tab are an example for training.</t>
  </si>
  <si>
    <t>Details</t>
  </si>
  <si>
    <t>Date</t>
  </si>
  <si>
    <t>Money In</t>
  </si>
  <si>
    <t>Money Out</t>
  </si>
  <si>
    <t>Balance</t>
  </si>
  <si>
    <t>Opening balance (cash at the start)</t>
  </si>
  <si>
    <t>1. SALES  (money coming in)</t>
  </si>
  <si>
    <t>Cake sales</t>
  </si>
  <si>
    <t>Catering order</t>
  </si>
  <si>
    <t>Bread sales</t>
  </si>
  <si>
    <t>Cupcake sales</t>
  </si>
  <si>
    <t>Wedding cake</t>
  </si>
  <si>
    <t>Total sales</t>
  </si>
  <si>
    <t>2. DIRECT EXPENSES  (cost of making the product)</t>
  </si>
  <si>
    <t>Flour and sugar</t>
  </si>
  <si>
    <t>Eggs and butter</t>
  </si>
  <si>
    <t>Packaging boxes</t>
  </si>
  <si>
    <t>Flour (restock)</t>
  </si>
  <si>
    <t>Baker's wage</t>
  </si>
  <si>
    <t>Total direct expenses</t>
  </si>
  <si>
    <t>3. INDIRECT EXPENSES  (cost of running the business)</t>
  </si>
  <si>
    <t>Shop rent</t>
  </si>
  <si>
    <t>Social media ad</t>
  </si>
  <si>
    <t>Electricity bill</t>
  </si>
  <si>
    <t>Phone and internet</t>
  </si>
  <si>
    <t>Total indirect expenses</t>
  </si>
  <si>
    <t>SUMMARY</t>
  </si>
  <si>
    <t>Less: direct expenses</t>
  </si>
  <si>
    <t>Gross profit  (sales - direct expenses)</t>
  </si>
  <si>
    <t>Less: indirect expenses</t>
  </si>
  <si>
    <t>Net profit or loss</t>
  </si>
  <si>
    <t>Closing balance  (opening balance + net profit)</t>
  </si>
  <si>
    <t>How to use: type only in the blue cells (yellow = fill in first). Sales go in Money In; expenses go in Money Out. Balance runs down the sheet: sales first, then direct expenses, then indirect expenses. Use any currency.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</si>
</sst>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\-#,##0.00;0.00"/>
    <numFmt numFmtId="165" formatCode="dd\-mmm\-yyyy"/>
    <numFmt numFmtId="166" formatCode="#,##0.00;\-#,##0.00;;@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444444"/>
      <name val="Arial"/>
      <charset val="1"/>
    </font>
    <font>
      <b/>
      <sz val="11"/>
      <color rgb="FFFFFFFF"/>
      <name val="Arial"/>
      <charset val="1"/>
    </font>
    <font>
      <b/>
      <sz val="10"/>
      <color rgb="FF0000FF"/>
      <name val="Arial"/>
      <charset val="1"/>
    </font>
    <font>
      <b/>
      <sz val="10"/>
      <color rgb="FF1E5631"/>
      <name val="Arial"/>
      <charset val="1"/>
    </font>
    <font>
      <sz val="10"/>
      <color rgb="FF000000"/>
      <name val="Arial"/>
      <charset val="1"/>
    </font>
    <font>
      <b/>
      <sz val="10"/>
      <color rgb="FF833C0B"/>
      <name val="Arial"/>
      <charset val="1"/>
    </font>
    <font>
      <b/>
      <sz val="10"/>
      <color rgb="FF1F4E78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E2761"/>
        <bgColor rgb="FF1F4E78"/>
      </patternFill>
    </fill>
    <fill>
      <patternFill patternType="solid">
        <fgColor rgb="FFFFFF99"/>
        <bgColor rgb="FFFCE4D6"/>
      </patternFill>
    </fill>
    <fill>
      <patternFill patternType="solid">
        <fgColor rgb="FF217346"/>
        <bgColor rgb="FF1E5631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DDEBF7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5" borderId="1" xfId="0" applyFont="1" applyFill="1" applyBorder="1" applyAlignment="1">
      <alignment indent="1"/>
    </xf>
    <xf numFmtId="0" fontId="2" fillId="0" borderId="1" xfId="0" applyFont="1" applyBorder="1" applyAlignment="1">
      <alignment indent="1"/>
    </xf>
    <xf numFmtId="0" fontId="8" fillId="0" borderId="1" xfId="0" applyFont="1" applyBorder="1" applyAlignment="1">
      <alignment indent="1"/>
    </xf>
    <xf numFmtId="0" fontId="5" fillId="2" borderId="0" xfId="0" applyFont="1" applyFill="1" applyBorder="1" applyAlignment="1">
      <alignment vertical="center" indent="1"/>
    </xf>
    <xf numFmtId="0" fontId="10" fillId="8" borderId="0" xfId="0" applyFont="1" applyFill="1" applyBorder="1" applyAlignment="1">
      <alignment vertical="center" indent="1"/>
    </xf>
    <xf numFmtId="0" fontId="9" fillId="7" borderId="0" xfId="0" applyFont="1" applyFill="1" applyBorder="1" applyAlignment="1">
      <alignment vertical="center" indent="1"/>
    </xf>
    <xf numFmtId="0" fontId="7" fillId="5" borderId="0" xfId="0" applyFont="1" applyFill="1" applyBorder="1" applyAlignment="1">
      <alignment vertical="center" indent="1"/>
    </xf>
    <xf numFmtId="0" fontId="4" fillId="0" borderId="0" xfId="0" applyFont="1" applyBorder="1" applyAlignment="1">
      <alignment vertical="center" wrapText="1"/>
    </xf>
    <xf numFmtId="0" fontId="3" fillId="3" borderId="1" xfId="0" applyFont="1" applyFill="1" applyBorder="1" applyAlignment="1">
      <alignment horizontal="left" indent="1"/>
    </xf>
    <xf numFmtId="0" fontId="1" fillId="2" borderId="0" xfId="0" applyFont="1" applyFill="1" applyBorder="1" applyAlignment="1">
      <alignment horizontal="left" vertical="center" indent="1"/>
    </xf>
    <xf numFmtId="0" fontId="2" fillId="0" borderId="0" xfId="0" applyFont="1"/>
    <xf numFmtId="0" fontId="5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indent="1"/>
    </xf>
    <xf numFmtId="0" fontId="0" fillId="0" borderId="1" xfId="0" applyBorder="1"/>
    <xf numFmtId="164" fontId="6" fillId="3" borderId="1" xfId="0" applyNumberFormat="1" applyFont="1" applyFill="1" applyBorder="1"/>
    <xf numFmtId="0" fontId="3" fillId="0" borderId="1" xfId="0" applyFont="1" applyBorder="1" applyAlignment="1">
      <alignment indent="1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/>
    <xf numFmtId="164" fontId="8" fillId="0" borderId="1" xfId="0" applyNumberFormat="1" applyFont="1" applyBorder="1"/>
    <xf numFmtId="0" fontId="2" fillId="6" borderId="2" xfId="0" applyFont="1" applyFill="1" applyBorder="1" applyAlignment="1">
      <alignment indent="1"/>
    </xf>
    <xf numFmtId="0" fontId="0" fillId="6" borderId="2" xfId="0" applyFill="1" applyBorder="1"/>
    <xf numFmtId="166" fontId="2" fillId="6" borderId="2" xfId="0" applyNumberFormat="1" applyFont="1" applyFill="1" applyBorder="1"/>
    <xf numFmtId="164" fontId="2" fillId="6" borderId="2" xfId="0" applyNumberFormat="1" applyFont="1" applyFill="1" applyBorder="1"/>
    <xf numFmtId="164" fontId="2" fillId="0" borderId="1" xfId="0" applyNumberFormat="1" applyFont="1" applyBorder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1E5631"/>
      <rgbColor rgb="FF833C0B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6"/>
  <sheetViews>
    <sheetView showGridLines="0" tabSelected="1" zoomScaleNormal="100" workbookViewId="0">
      <pane ySplit="5" topLeftCell="A6" activePane="bottomLeft" state="frozen"/>
      <selection pane="bottomLeft" activeCell="B2" sqref="B2:E2"/>
    </sheetView>
  </sheetViews>
  <sheetFormatPr defaultColWidth="8.6640625" defaultRowHeight="14.4" x14ac:dyDescent="0.3"/>
  <cols>
    <col min="1" max="1" width="38" customWidth="1"/>
    <col min="2" max="4" width="15" customWidth="1"/>
    <col min="5" max="5" width="17" customWidth="1"/>
  </cols>
  <sheetData>
    <row r="1" spans="1:5" ht="30" customHeight="1" x14ac:dyDescent="0.3">
      <c r="A1" s="10" t="s">
        <v>0</v>
      </c>
      <c r="B1" s="10"/>
      <c r="C1" s="10"/>
      <c r="D1" s="10"/>
      <c r="E1" s="10"/>
    </row>
    <row r="2" spans="1:5" x14ac:dyDescent="0.3">
      <c r="A2" s="11" t="s">
        <v>1</v>
      </c>
      <c r="B2" s="9" t="s">
        <v>2</v>
      </c>
      <c r="C2" s="9"/>
      <c r="D2" s="9"/>
      <c r="E2" s="9"/>
    </row>
    <row r="3" spans="1:5" ht="39.75" customHeight="1" x14ac:dyDescent="0.3">
      <c r="A3" s="8" t="s">
        <v>3</v>
      </c>
      <c r="B3" s="8"/>
      <c r="C3" s="8"/>
      <c r="D3" s="8"/>
      <c r="E3" s="8"/>
    </row>
    <row r="5" spans="1:5" ht="21.75" customHeight="1" x14ac:dyDescent="0.3">
      <c r="A5" s="12" t="s">
        <v>4</v>
      </c>
      <c r="B5" s="13" t="s">
        <v>5</v>
      </c>
      <c r="C5" s="13" t="s">
        <v>6</v>
      </c>
      <c r="D5" s="13" t="s">
        <v>7</v>
      </c>
      <c r="E5" s="13" t="s">
        <v>8</v>
      </c>
    </row>
    <row r="6" spans="1:5" x14ac:dyDescent="0.3">
      <c r="A6" s="14" t="s">
        <v>9</v>
      </c>
      <c r="B6" s="15"/>
      <c r="C6" s="15"/>
      <c r="D6" s="15"/>
      <c r="E6" s="16">
        <v>500</v>
      </c>
    </row>
    <row r="7" spans="1:5" ht="19.5" customHeight="1" x14ac:dyDescent="0.3">
      <c r="A7" s="7" t="s">
        <v>10</v>
      </c>
      <c r="B7" s="7"/>
      <c r="C7" s="7"/>
      <c r="D7" s="7"/>
      <c r="E7" s="7"/>
    </row>
    <row r="8" spans="1:5" x14ac:dyDescent="0.3">
      <c r="A8" s="17" t="s">
        <v>11</v>
      </c>
      <c r="B8" s="18">
        <v>46267</v>
      </c>
      <c r="C8" s="19">
        <v>120</v>
      </c>
      <c r="D8" s="19"/>
      <c r="E8" s="20">
        <f>IF(AND(C8="",D8=""),"",$E$6+SUBTOTAL(9,C$8:C8)-SUBTOTAL(9,D$8:D8))</f>
        <v>620</v>
      </c>
    </row>
    <row r="9" spans="1:5" x14ac:dyDescent="0.3">
      <c r="A9" s="17" t="s">
        <v>12</v>
      </c>
      <c r="B9" s="18">
        <v>46269</v>
      </c>
      <c r="C9" s="19">
        <v>200</v>
      </c>
      <c r="D9" s="19"/>
      <c r="E9" s="20">
        <f>IF(AND(C9="",D9=""),"",$E$6+SUBTOTAL(9,C$8:C9)-SUBTOTAL(9,D$8:D9))</f>
        <v>820</v>
      </c>
    </row>
    <row r="10" spans="1:5" x14ac:dyDescent="0.3">
      <c r="A10" s="17" t="s">
        <v>13</v>
      </c>
      <c r="B10" s="18">
        <v>46270</v>
      </c>
      <c r="C10" s="19">
        <v>85</v>
      </c>
      <c r="D10" s="19"/>
      <c r="E10" s="20">
        <f>IF(AND(C10="",D10=""),"",$E$6+SUBTOTAL(9,C$8:C10)-SUBTOTAL(9,D$8:D10))</f>
        <v>905</v>
      </c>
    </row>
    <row r="11" spans="1:5" x14ac:dyDescent="0.3">
      <c r="A11" s="17" t="s">
        <v>14</v>
      </c>
      <c r="B11" s="18">
        <v>46273</v>
      </c>
      <c r="C11" s="19">
        <v>95</v>
      </c>
      <c r="D11" s="19"/>
      <c r="E11" s="20">
        <f>IF(AND(C11="",D11=""),"",$E$6+SUBTOTAL(9,C$8:C11)-SUBTOTAL(9,D$8:D11))</f>
        <v>1000</v>
      </c>
    </row>
    <row r="12" spans="1:5" x14ac:dyDescent="0.3">
      <c r="A12" s="17" t="s">
        <v>15</v>
      </c>
      <c r="B12" s="18">
        <v>46277</v>
      </c>
      <c r="C12" s="19">
        <v>350</v>
      </c>
      <c r="D12" s="19"/>
      <c r="E12" s="20">
        <f>IF(AND(C12="",D12=""),"",$E$6+SUBTOTAL(9,C$8:C12)-SUBTOTAL(9,D$8:D12))</f>
        <v>1350</v>
      </c>
    </row>
    <row r="13" spans="1:5" x14ac:dyDescent="0.3">
      <c r="A13" s="17" t="s">
        <v>11</v>
      </c>
      <c r="B13" s="18">
        <v>46280</v>
      </c>
      <c r="C13" s="19">
        <v>150</v>
      </c>
      <c r="D13" s="19"/>
      <c r="E13" s="20">
        <f>IF(AND(C13="",D13=""),"",$E$6+SUBTOTAL(9,C$8:C13)-SUBTOTAL(9,D$8:D13))</f>
        <v>1500</v>
      </c>
    </row>
    <row r="14" spans="1:5" x14ac:dyDescent="0.3">
      <c r="A14" s="17"/>
      <c r="B14" s="18"/>
      <c r="C14" s="19"/>
      <c r="D14" s="19"/>
      <c r="E14" s="20" t="str">
        <f>IF(AND(C14="",D14=""),"",$E$6+SUBTOTAL(9,C$8:C14)-SUBTOTAL(9,D$8:D14))</f>
        <v/>
      </c>
    </row>
    <row r="15" spans="1:5" x14ac:dyDescent="0.3">
      <c r="A15" s="17"/>
      <c r="B15" s="18"/>
      <c r="C15" s="19"/>
      <c r="D15" s="19"/>
      <c r="E15" s="20" t="str">
        <f>IF(AND(C15="",D15=""),"",$E$6+SUBTOTAL(9,C$8:C15)-SUBTOTAL(9,D$8:D15))</f>
        <v/>
      </c>
    </row>
    <row r="16" spans="1:5" x14ac:dyDescent="0.3">
      <c r="A16" s="17"/>
      <c r="B16" s="18"/>
      <c r="C16" s="19"/>
      <c r="D16" s="19"/>
      <c r="E16" s="20" t="str">
        <f>IF(AND(C16="",D16=""),"",$E$6+SUBTOTAL(9,C$8:C16)-SUBTOTAL(9,D$8:D16))</f>
        <v/>
      </c>
    </row>
    <row r="17" spans="1:5" x14ac:dyDescent="0.3">
      <c r="A17" s="17"/>
      <c r="B17" s="18"/>
      <c r="C17" s="19"/>
      <c r="D17" s="19"/>
      <c r="E17" s="20" t="str">
        <f>IF(AND(C17="",D17=""),"",$E$6+SUBTOTAL(9,C$8:C17)-SUBTOTAL(9,D$8:D17))</f>
        <v/>
      </c>
    </row>
    <row r="18" spans="1:5" x14ac:dyDescent="0.3">
      <c r="A18" s="21" t="s">
        <v>16</v>
      </c>
      <c r="B18" s="22"/>
      <c r="C18" s="23">
        <f>SUBTOTAL(9,C8:C17)</f>
        <v>1000</v>
      </c>
      <c r="D18" s="23">
        <f>SUBTOTAL(9,D8:D17)</f>
        <v>0</v>
      </c>
      <c r="E18" s="24">
        <f>$E$6+SUBTOTAL(9,C$8:C18)-SUBTOTAL(9,D$8:D18)</f>
        <v>1500</v>
      </c>
    </row>
    <row r="19" spans="1:5" ht="19.5" customHeight="1" x14ac:dyDescent="0.3">
      <c r="A19" s="6" t="s">
        <v>17</v>
      </c>
      <c r="B19" s="6"/>
      <c r="C19" s="6"/>
      <c r="D19" s="6"/>
      <c r="E19" s="6"/>
    </row>
    <row r="20" spans="1:5" x14ac:dyDescent="0.3">
      <c r="A20" s="17" t="s">
        <v>18</v>
      </c>
      <c r="B20" s="18">
        <v>46268</v>
      </c>
      <c r="C20" s="19"/>
      <c r="D20" s="19">
        <v>45</v>
      </c>
      <c r="E20" s="20">
        <f>IF(AND(C20="",D20=""),"",$E$6+SUBTOTAL(9,C$8:C20)-SUBTOTAL(9,D$8:D20))</f>
        <v>1455</v>
      </c>
    </row>
    <row r="21" spans="1:5" x14ac:dyDescent="0.3">
      <c r="A21" s="17" t="s">
        <v>19</v>
      </c>
      <c r="B21" s="18">
        <v>46274</v>
      </c>
      <c r="C21" s="19"/>
      <c r="D21" s="19">
        <v>60</v>
      </c>
      <c r="E21" s="20">
        <f>IF(AND(C21="",D21=""),"",$E$6+SUBTOTAL(9,C$8:C21)-SUBTOTAL(9,D$8:D21))</f>
        <v>1395</v>
      </c>
    </row>
    <row r="22" spans="1:5" x14ac:dyDescent="0.3">
      <c r="A22" s="17" t="s">
        <v>20</v>
      </c>
      <c r="B22" s="18">
        <v>46275</v>
      </c>
      <c r="C22" s="19"/>
      <c r="D22" s="19">
        <v>25</v>
      </c>
      <c r="E22" s="20">
        <f>IF(AND(C22="",D22=""),"",$E$6+SUBTOTAL(9,C$8:C22)-SUBTOTAL(9,D$8:D22))</f>
        <v>1370</v>
      </c>
    </row>
    <row r="23" spans="1:5" x14ac:dyDescent="0.3">
      <c r="A23" s="17" t="s">
        <v>21</v>
      </c>
      <c r="B23" s="18">
        <v>46285</v>
      </c>
      <c r="C23" s="19"/>
      <c r="D23" s="19">
        <v>55</v>
      </c>
      <c r="E23" s="20">
        <f>IF(AND(C23="",D23=""),"",$E$6+SUBTOTAL(9,C$8:C23)-SUBTOTAL(9,D$8:D23))</f>
        <v>1315</v>
      </c>
    </row>
    <row r="24" spans="1:5" x14ac:dyDescent="0.3">
      <c r="A24" s="17" t="s">
        <v>22</v>
      </c>
      <c r="B24" s="18">
        <v>46290</v>
      </c>
      <c r="C24" s="19"/>
      <c r="D24" s="19">
        <v>250</v>
      </c>
      <c r="E24" s="20">
        <f>IF(AND(C24="",D24=""),"",$E$6+SUBTOTAL(9,C$8:C24)-SUBTOTAL(9,D$8:D24))</f>
        <v>1065</v>
      </c>
    </row>
    <row r="25" spans="1:5" x14ac:dyDescent="0.3">
      <c r="A25" s="17"/>
      <c r="B25" s="18"/>
      <c r="C25" s="19"/>
      <c r="D25" s="19"/>
      <c r="E25" s="20" t="str">
        <f>IF(AND(C25="",D25=""),"",$E$6+SUBTOTAL(9,C$8:C25)-SUBTOTAL(9,D$8:D25))</f>
        <v/>
      </c>
    </row>
    <row r="26" spans="1:5" x14ac:dyDescent="0.3">
      <c r="A26" s="17"/>
      <c r="B26" s="18"/>
      <c r="C26" s="19"/>
      <c r="D26" s="19"/>
      <c r="E26" s="20" t="str">
        <f>IF(AND(C26="",D26=""),"",$E$6+SUBTOTAL(9,C$8:C26)-SUBTOTAL(9,D$8:D26))</f>
        <v/>
      </c>
    </row>
    <row r="27" spans="1:5" x14ac:dyDescent="0.3">
      <c r="A27" s="17"/>
      <c r="B27" s="18"/>
      <c r="C27" s="19"/>
      <c r="D27" s="19"/>
      <c r="E27" s="20" t="str">
        <f>IF(AND(C27="",D27=""),"",$E$6+SUBTOTAL(9,C$8:C27)-SUBTOTAL(9,D$8:D27))</f>
        <v/>
      </c>
    </row>
    <row r="28" spans="1:5" x14ac:dyDescent="0.3">
      <c r="A28" s="21" t="s">
        <v>23</v>
      </c>
      <c r="B28" s="22"/>
      <c r="C28" s="23">
        <f>SUBTOTAL(9,C20:C27)</f>
        <v>0</v>
      </c>
      <c r="D28" s="23">
        <f>SUBTOTAL(9,D20:D27)</f>
        <v>435</v>
      </c>
      <c r="E28" s="24">
        <f>$E$6+SUBTOTAL(9,C$8:C28)-SUBTOTAL(9,D$8:D28)</f>
        <v>1065</v>
      </c>
    </row>
    <row r="29" spans="1:5" ht="19.5" customHeight="1" x14ac:dyDescent="0.3">
      <c r="A29" s="5" t="s">
        <v>24</v>
      </c>
      <c r="B29" s="5"/>
      <c r="C29" s="5"/>
      <c r="D29" s="5"/>
      <c r="E29" s="5"/>
    </row>
    <row r="30" spans="1:5" x14ac:dyDescent="0.3">
      <c r="A30" s="17" t="s">
        <v>25</v>
      </c>
      <c r="B30" s="18">
        <v>46270</v>
      </c>
      <c r="C30" s="19"/>
      <c r="D30" s="19">
        <v>300</v>
      </c>
      <c r="E30" s="20">
        <f>IF(AND(C30="",D30=""),"",$E$6+SUBTOTAL(9,C$8:C30)-SUBTOTAL(9,D$8:D30))</f>
        <v>765</v>
      </c>
    </row>
    <row r="31" spans="1:5" x14ac:dyDescent="0.3">
      <c r="A31" s="17" t="s">
        <v>26</v>
      </c>
      <c r="B31" s="18">
        <v>46271</v>
      </c>
      <c r="C31" s="19"/>
      <c r="D31" s="19">
        <v>30</v>
      </c>
      <c r="E31" s="20">
        <f>IF(AND(C31="",D31=""),"",$E$6+SUBTOTAL(9,C$8:C31)-SUBTOTAL(9,D$8:D31))</f>
        <v>735</v>
      </c>
    </row>
    <row r="32" spans="1:5" x14ac:dyDescent="0.3">
      <c r="A32" s="17" t="s">
        <v>27</v>
      </c>
      <c r="B32" s="18">
        <v>46283</v>
      </c>
      <c r="C32" s="19"/>
      <c r="D32" s="19">
        <v>60</v>
      </c>
      <c r="E32" s="20">
        <f>IF(AND(C32="",D32=""),"",$E$6+SUBTOTAL(9,C$8:C32)-SUBTOTAL(9,D$8:D32))</f>
        <v>675</v>
      </c>
    </row>
    <row r="33" spans="1:5" x14ac:dyDescent="0.3">
      <c r="A33" s="17" t="s">
        <v>28</v>
      </c>
      <c r="B33" s="18">
        <v>46285</v>
      </c>
      <c r="C33" s="19"/>
      <c r="D33" s="19">
        <v>20</v>
      </c>
      <c r="E33" s="20">
        <f>IF(AND(C33="",D33=""),"",$E$6+SUBTOTAL(9,C$8:C33)-SUBTOTAL(9,D$8:D33))</f>
        <v>655</v>
      </c>
    </row>
    <row r="34" spans="1:5" x14ac:dyDescent="0.3">
      <c r="A34" s="17"/>
      <c r="B34" s="18"/>
      <c r="C34" s="19"/>
      <c r="D34" s="19"/>
      <c r="E34" s="20" t="str">
        <f>IF(AND(C34="",D34=""),"",$E$6+SUBTOTAL(9,C$8:C34)-SUBTOTAL(9,D$8:D34))</f>
        <v/>
      </c>
    </row>
    <row r="35" spans="1:5" x14ac:dyDescent="0.3">
      <c r="A35" s="17"/>
      <c r="B35" s="18"/>
      <c r="C35" s="19"/>
      <c r="D35" s="19"/>
      <c r="E35" s="20" t="str">
        <f>IF(AND(C35="",D35=""),"",$E$6+SUBTOTAL(9,C$8:C35)-SUBTOTAL(9,D$8:D35))</f>
        <v/>
      </c>
    </row>
    <row r="36" spans="1:5" x14ac:dyDescent="0.3">
      <c r="A36" s="17"/>
      <c r="B36" s="18"/>
      <c r="C36" s="19"/>
      <c r="D36" s="19"/>
      <c r="E36" s="20" t="str">
        <f>IF(AND(C36="",D36=""),"",$E$6+SUBTOTAL(9,C$8:C36)-SUBTOTAL(9,D$8:D36))</f>
        <v/>
      </c>
    </row>
    <row r="37" spans="1:5" x14ac:dyDescent="0.3">
      <c r="A37" s="17"/>
      <c r="B37" s="18"/>
      <c r="C37" s="19"/>
      <c r="D37" s="19"/>
      <c r="E37" s="20" t="str">
        <f>IF(AND(C37="",D37=""),"",$E$6+SUBTOTAL(9,C$8:C37)-SUBTOTAL(9,D$8:D37))</f>
        <v/>
      </c>
    </row>
    <row r="38" spans="1:5" x14ac:dyDescent="0.3">
      <c r="A38" s="21" t="s">
        <v>29</v>
      </c>
      <c r="B38" s="22"/>
      <c r="C38" s="23">
        <f>SUBTOTAL(9,C30:C37)</f>
        <v>0</v>
      </c>
      <c r="D38" s="23">
        <f>SUBTOTAL(9,D30:D37)</f>
        <v>410</v>
      </c>
      <c r="E38" s="24">
        <f>$E$6+SUBTOTAL(9,C$8:C38)-SUBTOTAL(9,D$8:D38)</f>
        <v>655</v>
      </c>
    </row>
    <row r="40" spans="1:5" ht="19.5" customHeight="1" x14ac:dyDescent="0.3">
      <c r="A40" s="4" t="s">
        <v>30</v>
      </c>
      <c r="B40" s="4"/>
      <c r="C40" s="4"/>
      <c r="D40" s="4"/>
      <c r="E40" s="4"/>
    </row>
    <row r="41" spans="1:5" x14ac:dyDescent="0.3">
      <c r="A41" s="3" t="s">
        <v>16</v>
      </c>
      <c r="B41" s="3"/>
      <c r="C41" s="3"/>
      <c r="D41" s="3"/>
      <c r="E41" s="20">
        <f>C18-D18</f>
        <v>1000</v>
      </c>
    </row>
    <row r="42" spans="1:5" x14ac:dyDescent="0.3">
      <c r="A42" s="3" t="s">
        <v>31</v>
      </c>
      <c r="B42" s="3"/>
      <c r="C42" s="3"/>
      <c r="D42" s="3"/>
      <c r="E42" s="20">
        <f>D28-C28</f>
        <v>435</v>
      </c>
    </row>
    <row r="43" spans="1:5" x14ac:dyDescent="0.3">
      <c r="A43" s="2" t="s">
        <v>32</v>
      </c>
      <c r="B43" s="2"/>
      <c r="C43" s="2"/>
      <c r="D43" s="2"/>
      <c r="E43" s="25">
        <f>E41-E42</f>
        <v>565</v>
      </c>
    </row>
    <row r="44" spans="1:5" x14ac:dyDescent="0.3">
      <c r="A44" s="3" t="s">
        <v>33</v>
      </c>
      <c r="B44" s="3"/>
      <c r="C44" s="3"/>
      <c r="D44" s="3"/>
      <c r="E44" s="20">
        <f>D38-C38</f>
        <v>410</v>
      </c>
    </row>
    <row r="45" spans="1:5" x14ac:dyDescent="0.3">
      <c r="A45" s="2" t="s">
        <v>34</v>
      </c>
      <c r="B45" s="2"/>
      <c r="C45" s="2"/>
      <c r="D45" s="2"/>
      <c r="E45" s="25">
        <f>E43-E44</f>
        <v>155</v>
      </c>
    </row>
    <row r="46" spans="1:5" x14ac:dyDescent="0.3">
      <c r="A46" s="1" t="s">
        <v>35</v>
      </c>
      <c r="B46" s="1"/>
      <c r="C46" s="1"/>
      <c r="D46" s="1"/>
      <c r="E46" s="26">
        <f>$E$6+E45</f>
        <v>655</v>
      </c>
    </row>
  </sheetData>
  <mergeCells count="13">
    <mergeCell ref="A44:D44"/>
    <mergeCell ref="A45:D45"/>
    <mergeCell ref="A46:D46"/>
    <mergeCell ref="A29:E29"/>
    <mergeCell ref="A40:E40"/>
    <mergeCell ref="A41:D41"/>
    <mergeCell ref="A42:D42"/>
    <mergeCell ref="A43:D43"/>
    <mergeCell ref="A1:E1"/>
    <mergeCell ref="B2:E2"/>
    <mergeCell ref="A3:E3"/>
    <mergeCell ref="A7:E7"/>
    <mergeCell ref="A19:E19"/>
  </mergeCells>
  <dataValidations count="2">
    <dataValidation type="decimal" operator="greaterThanOrEqual" allowBlank="1" showErrorMessage="1" errorTitle="Amount" error="Please enter a positive number." sqref="C8:D17 C20:D27 C30:D37" xr:uid="{00000000-0002-0000-0000-000000000000}">
      <formula1>0</formula1>
      <formula2>0</formula2>
    </dataValidation>
    <dataValidation type="date" operator="greaterThan" allowBlank="1" showErrorMessage="1" errorTitle="Date" error="Please enter a valid date, for example 15-Sep-2026." sqref="B8:B17 B20:B27 B30:B37" xr:uid="{00000000-0002-0000-0000-000001000000}">
      <formula1>36526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6"/>
  <sheetViews>
    <sheetView showGridLines="0" zoomScaleNormal="100" workbookViewId="0">
      <pane ySplit="5" topLeftCell="A6" activePane="bottomLeft" state="frozen"/>
      <selection pane="bottomLeft" sqref="A1:E1"/>
    </sheetView>
  </sheetViews>
  <sheetFormatPr defaultColWidth="8.6640625" defaultRowHeight="14.4" x14ac:dyDescent="0.3"/>
  <cols>
    <col min="1" max="1" width="38" customWidth="1"/>
    <col min="2" max="4" width="15" customWidth="1"/>
    <col min="5" max="5" width="17" customWidth="1"/>
  </cols>
  <sheetData>
    <row r="1" spans="1:5" ht="30" customHeight="1" x14ac:dyDescent="0.3">
      <c r="A1" s="10" t="s">
        <v>0</v>
      </c>
      <c r="B1" s="10"/>
      <c r="C1" s="10"/>
      <c r="D1" s="10"/>
      <c r="E1" s="10"/>
    </row>
    <row r="2" spans="1:5" x14ac:dyDescent="0.3">
      <c r="A2" s="11" t="s">
        <v>1</v>
      </c>
      <c r="B2" s="9"/>
      <c r="C2" s="9"/>
      <c r="D2" s="9"/>
      <c r="E2" s="9"/>
    </row>
    <row r="3" spans="1:5" ht="39.75" customHeight="1" x14ac:dyDescent="0.3">
      <c r="A3" s="8" t="s">
        <v>36</v>
      </c>
      <c r="B3" s="8"/>
      <c r="C3" s="8"/>
      <c r="D3" s="8"/>
      <c r="E3" s="8"/>
    </row>
    <row r="5" spans="1:5" ht="21.75" customHeight="1" x14ac:dyDescent="0.3">
      <c r="A5" s="12" t="s">
        <v>4</v>
      </c>
      <c r="B5" s="13" t="s">
        <v>5</v>
      </c>
      <c r="C5" s="13" t="s">
        <v>6</v>
      </c>
      <c r="D5" s="13" t="s">
        <v>7</v>
      </c>
      <c r="E5" s="13" t="s">
        <v>8</v>
      </c>
    </row>
    <row r="6" spans="1:5" x14ac:dyDescent="0.3">
      <c r="A6" s="14" t="s">
        <v>9</v>
      </c>
      <c r="B6" s="15"/>
      <c r="C6" s="15"/>
      <c r="D6" s="15"/>
      <c r="E6" s="16"/>
    </row>
    <row r="7" spans="1:5" ht="19.5" customHeight="1" x14ac:dyDescent="0.3">
      <c r="A7" s="7" t="s">
        <v>10</v>
      </c>
      <c r="B7" s="7"/>
      <c r="C7" s="7"/>
      <c r="D7" s="7"/>
      <c r="E7" s="7"/>
    </row>
    <row r="8" spans="1:5" x14ac:dyDescent="0.3">
      <c r="A8" s="17"/>
      <c r="B8" s="18"/>
      <c r="C8" s="19"/>
      <c r="D8" s="19"/>
      <c r="E8" s="20" t="str">
        <f>IF(AND(C8="",D8=""),"",$E$6+SUBTOTAL(9,C$8:C8)-SUBTOTAL(9,D$8:D8))</f>
        <v/>
      </c>
    </row>
    <row r="9" spans="1:5" x14ac:dyDescent="0.3">
      <c r="A9" s="17"/>
      <c r="B9" s="18"/>
      <c r="C9" s="19"/>
      <c r="D9" s="19"/>
      <c r="E9" s="20" t="str">
        <f>IF(AND(C9="",D9=""),"",$E$6+SUBTOTAL(9,C$8:C9)-SUBTOTAL(9,D$8:D9))</f>
        <v/>
      </c>
    </row>
    <row r="10" spans="1:5" x14ac:dyDescent="0.3">
      <c r="A10" s="17"/>
      <c r="B10" s="18"/>
      <c r="C10" s="19"/>
      <c r="D10" s="19"/>
      <c r="E10" s="20" t="str">
        <f>IF(AND(C10="",D10=""),"",$E$6+SUBTOTAL(9,C$8:C10)-SUBTOTAL(9,D$8:D10))</f>
        <v/>
      </c>
    </row>
    <row r="11" spans="1:5" x14ac:dyDescent="0.3">
      <c r="A11" s="17"/>
      <c r="B11" s="18"/>
      <c r="C11" s="19"/>
      <c r="D11" s="19"/>
      <c r="E11" s="20" t="str">
        <f>IF(AND(C11="",D11=""),"",$E$6+SUBTOTAL(9,C$8:C11)-SUBTOTAL(9,D$8:D11))</f>
        <v/>
      </c>
    </row>
    <row r="12" spans="1:5" x14ac:dyDescent="0.3">
      <c r="A12" s="17"/>
      <c r="B12" s="18"/>
      <c r="C12" s="19"/>
      <c r="D12" s="19"/>
      <c r="E12" s="20" t="str">
        <f>IF(AND(C12="",D12=""),"",$E$6+SUBTOTAL(9,C$8:C12)-SUBTOTAL(9,D$8:D12))</f>
        <v/>
      </c>
    </row>
    <row r="13" spans="1:5" x14ac:dyDescent="0.3">
      <c r="A13" s="17"/>
      <c r="B13" s="18"/>
      <c r="C13" s="19"/>
      <c r="D13" s="19"/>
      <c r="E13" s="20" t="str">
        <f>IF(AND(C13="",D13=""),"",$E$6+SUBTOTAL(9,C$8:C13)-SUBTOTAL(9,D$8:D13))</f>
        <v/>
      </c>
    </row>
    <row r="14" spans="1:5" x14ac:dyDescent="0.3">
      <c r="A14" s="17"/>
      <c r="B14" s="18"/>
      <c r="C14" s="19"/>
      <c r="D14" s="19"/>
      <c r="E14" s="20" t="str">
        <f>IF(AND(C14="",D14=""),"",$E$6+SUBTOTAL(9,C$8:C14)-SUBTOTAL(9,D$8:D14))</f>
        <v/>
      </c>
    </row>
    <row r="15" spans="1:5" x14ac:dyDescent="0.3">
      <c r="A15" s="17"/>
      <c r="B15" s="18"/>
      <c r="C15" s="19"/>
      <c r="D15" s="19"/>
      <c r="E15" s="20" t="str">
        <f>IF(AND(C15="",D15=""),"",$E$6+SUBTOTAL(9,C$8:C15)-SUBTOTAL(9,D$8:D15))</f>
        <v/>
      </c>
    </row>
    <row r="16" spans="1:5" x14ac:dyDescent="0.3">
      <c r="A16" s="17"/>
      <c r="B16" s="18"/>
      <c r="C16" s="19"/>
      <c r="D16" s="19"/>
      <c r="E16" s="20" t="str">
        <f>IF(AND(C16="",D16=""),"",$E$6+SUBTOTAL(9,C$8:C16)-SUBTOTAL(9,D$8:D16))</f>
        <v/>
      </c>
    </row>
    <row r="17" spans="1:5" x14ac:dyDescent="0.3">
      <c r="A17" s="17"/>
      <c r="B17" s="18"/>
      <c r="C17" s="19"/>
      <c r="D17" s="19"/>
      <c r="E17" s="20" t="str">
        <f>IF(AND(C17="",D17=""),"",$E$6+SUBTOTAL(9,C$8:C17)-SUBTOTAL(9,D$8:D17))</f>
        <v/>
      </c>
    </row>
    <row r="18" spans="1:5" x14ac:dyDescent="0.3">
      <c r="A18" s="21" t="s">
        <v>16</v>
      </c>
      <c r="B18" s="22"/>
      <c r="C18" s="23">
        <f>SUBTOTAL(9,C8:C17)</f>
        <v>0</v>
      </c>
      <c r="D18" s="23">
        <f>SUBTOTAL(9,D8:D17)</f>
        <v>0</v>
      </c>
      <c r="E18" s="24">
        <f>$E$6+SUBTOTAL(9,C$8:C18)-SUBTOTAL(9,D$8:D18)</f>
        <v>0</v>
      </c>
    </row>
    <row r="19" spans="1:5" ht="19.5" customHeight="1" x14ac:dyDescent="0.3">
      <c r="A19" s="6" t="s">
        <v>17</v>
      </c>
      <c r="B19" s="6"/>
      <c r="C19" s="6"/>
      <c r="D19" s="6"/>
      <c r="E19" s="6"/>
    </row>
    <row r="20" spans="1:5" x14ac:dyDescent="0.3">
      <c r="A20" s="17"/>
      <c r="B20" s="18"/>
      <c r="C20" s="19"/>
      <c r="D20" s="19"/>
      <c r="E20" s="20" t="str">
        <f>IF(AND(C20="",D20=""),"",$E$6+SUBTOTAL(9,C$8:C20)-SUBTOTAL(9,D$8:D20))</f>
        <v/>
      </c>
    </row>
    <row r="21" spans="1:5" x14ac:dyDescent="0.3">
      <c r="A21" s="17"/>
      <c r="B21" s="18"/>
      <c r="C21" s="19"/>
      <c r="D21" s="19"/>
      <c r="E21" s="20" t="str">
        <f>IF(AND(C21="",D21=""),"",$E$6+SUBTOTAL(9,C$8:C21)-SUBTOTAL(9,D$8:D21))</f>
        <v/>
      </c>
    </row>
    <row r="22" spans="1:5" x14ac:dyDescent="0.3">
      <c r="A22" s="17"/>
      <c r="B22" s="18"/>
      <c r="C22" s="19"/>
      <c r="D22" s="19"/>
      <c r="E22" s="20" t="str">
        <f>IF(AND(C22="",D22=""),"",$E$6+SUBTOTAL(9,C$8:C22)-SUBTOTAL(9,D$8:D22))</f>
        <v/>
      </c>
    </row>
    <row r="23" spans="1:5" x14ac:dyDescent="0.3">
      <c r="A23" s="17"/>
      <c r="B23" s="18"/>
      <c r="C23" s="19"/>
      <c r="D23" s="19"/>
      <c r="E23" s="20" t="str">
        <f>IF(AND(C23="",D23=""),"",$E$6+SUBTOTAL(9,C$8:C23)-SUBTOTAL(9,D$8:D23))</f>
        <v/>
      </c>
    </row>
    <row r="24" spans="1:5" x14ac:dyDescent="0.3">
      <c r="A24" s="17"/>
      <c r="B24" s="18"/>
      <c r="C24" s="19"/>
      <c r="D24" s="19"/>
      <c r="E24" s="20" t="str">
        <f>IF(AND(C24="",D24=""),"",$E$6+SUBTOTAL(9,C$8:C24)-SUBTOTAL(9,D$8:D24))</f>
        <v/>
      </c>
    </row>
    <row r="25" spans="1:5" x14ac:dyDescent="0.3">
      <c r="A25" s="17"/>
      <c r="B25" s="18"/>
      <c r="C25" s="19"/>
      <c r="D25" s="19"/>
      <c r="E25" s="20" t="str">
        <f>IF(AND(C25="",D25=""),"",$E$6+SUBTOTAL(9,C$8:C25)-SUBTOTAL(9,D$8:D25))</f>
        <v/>
      </c>
    </row>
    <row r="26" spans="1:5" x14ac:dyDescent="0.3">
      <c r="A26" s="17"/>
      <c r="B26" s="18"/>
      <c r="C26" s="19"/>
      <c r="D26" s="19"/>
      <c r="E26" s="20" t="str">
        <f>IF(AND(C26="",D26=""),"",$E$6+SUBTOTAL(9,C$8:C26)-SUBTOTAL(9,D$8:D26))</f>
        <v/>
      </c>
    </row>
    <row r="27" spans="1:5" x14ac:dyDescent="0.3">
      <c r="A27" s="17"/>
      <c r="B27" s="18"/>
      <c r="C27" s="19"/>
      <c r="D27" s="19"/>
      <c r="E27" s="20" t="str">
        <f>IF(AND(C27="",D27=""),"",$E$6+SUBTOTAL(9,C$8:C27)-SUBTOTAL(9,D$8:D27))</f>
        <v/>
      </c>
    </row>
    <row r="28" spans="1:5" x14ac:dyDescent="0.3">
      <c r="A28" s="21" t="s">
        <v>23</v>
      </c>
      <c r="B28" s="22"/>
      <c r="C28" s="23">
        <f>SUBTOTAL(9,C20:C27)</f>
        <v>0</v>
      </c>
      <c r="D28" s="23">
        <f>SUBTOTAL(9,D20:D27)</f>
        <v>0</v>
      </c>
      <c r="E28" s="24">
        <f>$E$6+SUBTOTAL(9,C$8:C28)-SUBTOTAL(9,D$8:D28)</f>
        <v>0</v>
      </c>
    </row>
    <row r="29" spans="1:5" ht="19.5" customHeight="1" x14ac:dyDescent="0.3">
      <c r="A29" s="5" t="s">
        <v>24</v>
      </c>
      <c r="B29" s="5"/>
      <c r="C29" s="5"/>
      <c r="D29" s="5"/>
      <c r="E29" s="5"/>
    </row>
    <row r="30" spans="1:5" x14ac:dyDescent="0.3">
      <c r="A30" s="17"/>
      <c r="B30" s="18"/>
      <c r="C30" s="19"/>
      <c r="D30" s="19"/>
      <c r="E30" s="20" t="str">
        <f>IF(AND(C30="",D30=""),"",$E$6+SUBTOTAL(9,C$8:C30)-SUBTOTAL(9,D$8:D30))</f>
        <v/>
      </c>
    </row>
    <row r="31" spans="1:5" x14ac:dyDescent="0.3">
      <c r="A31" s="17"/>
      <c r="B31" s="18"/>
      <c r="C31" s="19"/>
      <c r="D31" s="19"/>
      <c r="E31" s="20" t="str">
        <f>IF(AND(C31="",D31=""),"",$E$6+SUBTOTAL(9,C$8:C31)-SUBTOTAL(9,D$8:D31))</f>
        <v/>
      </c>
    </row>
    <row r="32" spans="1:5" x14ac:dyDescent="0.3">
      <c r="A32" s="17"/>
      <c r="B32" s="18"/>
      <c r="C32" s="19"/>
      <c r="D32" s="19"/>
      <c r="E32" s="20" t="str">
        <f>IF(AND(C32="",D32=""),"",$E$6+SUBTOTAL(9,C$8:C32)-SUBTOTAL(9,D$8:D32))</f>
        <v/>
      </c>
    </row>
    <row r="33" spans="1:5" x14ac:dyDescent="0.3">
      <c r="A33" s="17"/>
      <c r="B33" s="18"/>
      <c r="C33" s="19"/>
      <c r="D33" s="19"/>
      <c r="E33" s="20" t="str">
        <f>IF(AND(C33="",D33=""),"",$E$6+SUBTOTAL(9,C$8:C33)-SUBTOTAL(9,D$8:D33))</f>
        <v/>
      </c>
    </row>
    <row r="34" spans="1:5" x14ac:dyDescent="0.3">
      <c r="A34" s="17"/>
      <c r="B34" s="18"/>
      <c r="C34" s="19"/>
      <c r="D34" s="19"/>
      <c r="E34" s="20" t="str">
        <f>IF(AND(C34="",D34=""),"",$E$6+SUBTOTAL(9,C$8:C34)-SUBTOTAL(9,D$8:D34))</f>
        <v/>
      </c>
    </row>
    <row r="35" spans="1:5" x14ac:dyDescent="0.3">
      <c r="A35" s="17"/>
      <c r="B35" s="18"/>
      <c r="C35" s="19"/>
      <c r="D35" s="19"/>
      <c r="E35" s="20" t="str">
        <f>IF(AND(C35="",D35=""),"",$E$6+SUBTOTAL(9,C$8:C35)-SUBTOTAL(9,D$8:D35))</f>
        <v/>
      </c>
    </row>
    <row r="36" spans="1:5" x14ac:dyDescent="0.3">
      <c r="A36" s="17"/>
      <c r="B36" s="18"/>
      <c r="C36" s="19"/>
      <c r="D36" s="19"/>
      <c r="E36" s="20" t="str">
        <f>IF(AND(C36="",D36=""),"",$E$6+SUBTOTAL(9,C$8:C36)-SUBTOTAL(9,D$8:D36))</f>
        <v/>
      </c>
    </row>
    <row r="37" spans="1:5" x14ac:dyDescent="0.3">
      <c r="A37" s="17"/>
      <c r="B37" s="18"/>
      <c r="C37" s="19"/>
      <c r="D37" s="19"/>
      <c r="E37" s="20" t="str">
        <f>IF(AND(C37="",D37=""),"",$E$6+SUBTOTAL(9,C$8:C37)-SUBTOTAL(9,D$8:D37))</f>
        <v/>
      </c>
    </row>
    <row r="38" spans="1:5" x14ac:dyDescent="0.3">
      <c r="A38" s="21" t="s">
        <v>29</v>
      </c>
      <c r="B38" s="22"/>
      <c r="C38" s="23">
        <f>SUBTOTAL(9,C30:C37)</f>
        <v>0</v>
      </c>
      <c r="D38" s="23">
        <f>SUBTOTAL(9,D30:D37)</f>
        <v>0</v>
      </c>
      <c r="E38" s="24">
        <f>$E$6+SUBTOTAL(9,C$8:C38)-SUBTOTAL(9,D$8:D38)</f>
        <v>0</v>
      </c>
    </row>
    <row r="40" spans="1:5" ht="19.5" customHeight="1" x14ac:dyDescent="0.3">
      <c r="A40" s="4" t="s">
        <v>30</v>
      </c>
      <c r="B40" s="4"/>
      <c r="C40" s="4"/>
      <c r="D40" s="4"/>
      <c r="E40" s="4"/>
    </row>
    <row r="41" spans="1:5" x14ac:dyDescent="0.3">
      <c r="A41" s="3" t="s">
        <v>16</v>
      </c>
      <c r="B41" s="3"/>
      <c r="C41" s="3"/>
      <c r="D41" s="3"/>
      <c r="E41" s="20">
        <f>C18-D18</f>
        <v>0</v>
      </c>
    </row>
    <row r="42" spans="1:5" x14ac:dyDescent="0.3">
      <c r="A42" s="3" t="s">
        <v>31</v>
      </c>
      <c r="B42" s="3"/>
      <c r="C42" s="3"/>
      <c r="D42" s="3"/>
      <c r="E42" s="20">
        <f>D28-C28</f>
        <v>0</v>
      </c>
    </row>
    <row r="43" spans="1:5" x14ac:dyDescent="0.3">
      <c r="A43" s="2" t="s">
        <v>32</v>
      </c>
      <c r="B43" s="2"/>
      <c r="C43" s="2"/>
      <c r="D43" s="2"/>
      <c r="E43" s="25">
        <f>E41-E42</f>
        <v>0</v>
      </c>
    </row>
    <row r="44" spans="1:5" x14ac:dyDescent="0.3">
      <c r="A44" s="3" t="s">
        <v>33</v>
      </c>
      <c r="B44" s="3"/>
      <c r="C44" s="3"/>
      <c r="D44" s="3"/>
      <c r="E44" s="20">
        <f>D38-C38</f>
        <v>0</v>
      </c>
    </row>
    <row r="45" spans="1:5" x14ac:dyDescent="0.3">
      <c r="A45" s="2" t="s">
        <v>34</v>
      </c>
      <c r="B45" s="2"/>
      <c r="C45" s="2"/>
      <c r="D45" s="2"/>
      <c r="E45" s="25">
        <f>E43-E44</f>
        <v>0</v>
      </c>
    </row>
    <row r="46" spans="1:5" x14ac:dyDescent="0.3">
      <c r="A46" s="1" t="s">
        <v>35</v>
      </c>
      <c r="B46" s="1"/>
      <c r="C46" s="1"/>
      <c r="D46" s="1"/>
      <c r="E46" s="26">
        <f>$E$6+E45</f>
        <v>0</v>
      </c>
    </row>
  </sheetData>
  <mergeCells count="13">
    <mergeCell ref="A44:D44"/>
    <mergeCell ref="A45:D45"/>
    <mergeCell ref="A46:D46"/>
    <mergeCell ref="A29:E29"/>
    <mergeCell ref="A40:E40"/>
    <mergeCell ref="A41:D41"/>
    <mergeCell ref="A42:D42"/>
    <mergeCell ref="A43:D43"/>
    <mergeCell ref="A1:E1"/>
    <mergeCell ref="B2:E2"/>
    <mergeCell ref="A3:E3"/>
    <mergeCell ref="A7:E7"/>
    <mergeCell ref="A19:E19"/>
  </mergeCells>
  <dataValidations count="2">
    <dataValidation type="decimal" operator="greaterThanOrEqual" allowBlank="1" showErrorMessage="1" errorTitle="Amount" error="Please enter a positive number." sqref="C8:D17 C20:D27 C30:D37" xr:uid="{00000000-0002-0000-0100-000000000000}">
      <formula1>0</formula1>
      <formula2>0</formula2>
    </dataValidation>
    <dataValidation type="date" operator="greaterThan" allowBlank="1" showErrorMessage="1" errorTitle="Date" error="Please enter a valid date, for example 15-Sep-2026." sqref="B8:B17 B20:B27 B30:B37" xr:uid="{00000000-0002-0000-0100-000001000000}">
      <formula1>36526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Example</vt:lpstr>
      <vt:lpstr>My Transactions</vt:lpstr>
      <vt:lpstr>Example!Print_Titles</vt:lpstr>
      <vt:lpstr>'My Transactions'!Print_Titles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Lord Technology</cp:lastModifiedBy>
  <cp:revision>0</cp:revision>
  <dcterms:created xsi:type="dcterms:W3CDTF">2026-09-28T11:42:50Z</dcterms:created>
  <dcterms:modified xsi:type="dcterms:W3CDTF">2026-09-28T11:50:21Z</dcterms:modified>
  <dc:language>en-US</dc:language>
</cp:coreProperties>
</file>