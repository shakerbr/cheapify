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Java\Desktop\AUK Training\Capa\Final\"/>
    </mc:Choice>
  </mc:AlternateContent>
  <xr:revisionPtr revIDLastSave="0" documentId="8_{86677738-67F5-4541-8E0A-4F33BD2D9E24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Breakdow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6" i="2" l="1"/>
  <c r="L24" i="1" s="1"/>
  <c r="H46" i="2"/>
  <c r="H24" i="1" s="1"/>
  <c r="F46" i="2"/>
  <c r="F24" i="1" s="1"/>
  <c r="D46" i="2"/>
  <c r="N43" i="2"/>
  <c r="N41" i="2"/>
  <c r="N40" i="2"/>
  <c r="J37" i="2"/>
  <c r="J42" i="2" s="1"/>
  <c r="B37" i="2"/>
  <c r="B42" i="2" s="1"/>
  <c r="M35" i="2"/>
  <c r="L35" i="2"/>
  <c r="K35" i="2"/>
  <c r="K14" i="1" s="1"/>
  <c r="J35" i="2"/>
  <c r="I35" i="2"/>
  <c r="H35" i="2"/>
  <c r="G35" i="2"/>
  <c r="F35" i="2"/>
  <c r="E35" i="2"/>
  <c r="D35" i="2"/>
  <c r="C35" i="2"/>
  <c r="C14" i="1" s="1"/>
  <c r="B35" i="2"/>
  <c r="N34" i="2"/>
  <c r="N33" i="2"/>
  <c r="N32" i="2"/>
  <c r="N31" i="2"/>
  <c r="N30" i="2"/>
  <c r="N29" i="2"/>
  <c r="N28" i="2"/>
  <c r="N27" i="2"/>
  <c r="N26" i="2"/>
  <c r="N25" i="2"/>
  <c r="L22" i="2"/>
  <c r="K22" i="2"/>
  <c r="J22" i="2"/>
  <c r="F22" i="2"/>
  <c r="F12" i="1" s="1"/>
  <c r="D22" i="2"/>
  <c r="C22" i="2"/>
  <c r="B22" i="2"/>
  <c r="K21" i="2"/>
  <c r="K37" i="2" s="1"/>
  <c r="J21" i="2"/>
  <c r="I21" i="2"/>
  <c r="I37" i="2" s="1"/>
  <c r="G21" i="2"/>
  <c r="G37" i="2" s="1"/>
  <c r="C21" i="2"/>
  <c r="C37" i="2" s="1"/>
  <c r="B21" i="2"/>
  <c r="M19" i="2"/>
  <c r="L19" i="2"/>
  <c r="K19" i="2"/>
  <c r="J19" i="2"/>
  <c r="I19" i="2"/>
  <c r="H19" i="2"/>
  <c r="H21" i="2" s="1"/>
  <c r="G19" i="2"/>
  <c r="F19" i="2"/>
  <c r="E19" i="2"/>
  <c r="D19" i="2"/>
  <c r="N19" i="2" s="1"/>
  <c r="N9" i="1" s="1"/>
  <c r="C19" i="2"/>
  <c r="B19" i="2"/>
  <c r="N18" i="2"/>
  <c r="N17" i="2"/>
  <c r="N16" i="2"/>
  <c r="N15" i="2"/>
  <c r="M12" i="2"/>
  <c r="M46" i="2" s="1"/>
  <c r="M24" i="1" s="1"/>
  <c r="L12" i="2"/>
  <c r="L21" i="2" s="1"/>
  <c r="K12" i="2"/>
  <c r="K46" i="2" s="1"/>
  <c r="K24" i="1" s="1"/>
  <c r="J12" i="2"/>
  <c r="J46" i="2" s="1"/>
  <c r="J24" i="1" s="1"/>
  <c r="I12" i="2"/>
  <c r="I22" i="2" s="1"/>
  <c r="I12" i="1" s="1"/>
  <c r="H12" i="2"/>
  <c r="H22" i="2" s="1"/>
  <c r="H12" i="1" s="1"/>
  <c r="G12" i="2"/>
  <c r="G8" i="1" s="1"/>
  <c r="F12" i="2"/>
  <c r="F21" i="2" s="1"/>
  <c r="E12" i="2"/>
  <c r="E46" i="2" s="1"/>
  <c r="E24" i="1" s="1"/>
  <c r="D12" i="2"/>
  <c r="D21" i="2" s="1"/>
  <c r="C12" i="2"/>
  <c r="C46" i="2" s="1"/>
  <c r="C24" i="1" s="1"/>
  <c r="B12" i="2"/>
  <c r="B46" i="2" s="1"/>
  <c r="B24" i="1" s="1"/>
  <c r="N11" i="2"/>
  <c r="N10" i="2"/>
  <c r="N9" i="2"/>
  <c r="N8" i="2"/>
  <c r="M6" i="2"/>
  <c r="L6" i="2"/>
  <c r="K6" i="2"/>
  <c r="J6" i="2"/>
  <c r="I6" i="2"/>
  <c r="H6" i="2"/>
  <c r="G6" i="2"/>
  <c r="F6" i="2"/>
  <c r="E6" i="2"/>
  <c r="D6" i="2"/>
  <c r="C6" i="2"/>
  <c r="B6" i="2"/>
  <c r="D24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J16" i="1"/>
  <c r="B16" i="1"/>
  <c r="M14" i="1"/>
  <c r="L14" i="1"/>
  <c r="J14" i="1"/>
  <c r="I14" i="1"/>
  <c r="H14" i="1"/>
  <c r="G14" i="1"/>
  <c r="F14" i="1"/>
  <c r="E14" i="1"/>
  <c r="D14" i="1"/>
  <c r="B14" i="1"/>
  <c r="L12" i="1"/>
  <c r="K12" i="1"/>
  <c r="J12" i="1"/>
  <c r="D12" i="1"/>
  <c r="C12" i="1"/>
  <c r="B12" i="1"/>
  <c r="K11" i="1"/>
  <c r="J11" i="1"/>
  <c r="I11" i="1"/>
  <c r="G11" i="1"/>
  <c r="C11" i="1"/>
  <c r="B11" i="1"/>
  <c r="M9" i="1"/>
  <c r="L9" i="1"/>
  <c r="K9" i="1"/>
  <c r="J9" i="1"/>
  <c r="I9" i="1"/>
  <c r="H9" i="1"/>
  <c r="G9" i="1"/>
  <c r="F9" i="1"/>
  <c r="E9" i="1"/>
  <c r="D9" i="1"/>
  <c r="C9" i="1"/>
  <c r="B9" i="1"/>
  <c r="L8" i="1"/>
  <c r="K8" i="1"/>
  <c r="J8" i="1"/>
  <c r="I8" i="1"/>
  <c r="H8" i="1"/>
  <c r="D8" i="1"/>
  <c r="C8" i="1"/>
  <c r="B8" i="1"/>
  <c r="M6" i="1"/>
  <c r="L6" i="1"/>
  <c r="K6" i="1"/>
  <c r="J6" i="1"/>
  <c r="I6" i="1"/>
  <c r="H6" i="1"/>
  <c r="G6" i="1"/>
  <c r="F6" i="1"/>
  <c r="E6" i="1"/>
  <c r="D6" i="1"/>
  <c r="C6" i="1"/>
  <c r="B6" i="1"/>
  <c r="H4" i="1"/>
  <c r="E4" i="1"/>
  <c r="B4" i="1"/>
  <c r="B3" i="1"/>
  <c r="K42" i="2" l="1"/>
  <c r="K16" i="1"/>
  <c r="D37" i="2"/>
  <c r="D11" i="1"/>
  <c r="L37" i="2"/>
  <c r="L11" i="1"/>
  <c r="F37" i="2"/>
  <c r="F11" i="1"/>
  <c r="C42" i="2"/>
  <c r="C16" i="1"/>
  <c r="J45" i="2"/>
  <c r="J23" i="1" s="1"/>
  <c r="J20" i="1"/>
  <c r="H11" i="1"/>
  <c r="H37" i="2"/>
  <c r="G42" i="2"/>
  <c r="G16" i="1"/>
  <c r="I16" i="1"/>
  <c r="I42" i="2"/>
  <c r="B45" i="2"/>
  <c r="B20" i="1"/>
  <c r="E22" i="2"/>
  <c r="E12" i="1" s="1"/>
  <c r="M22" i="2"/>
  <c r="M12" i="1" s="1"/>
  <c r="N35" i="2"/>
  <c r="N14" i="1" s="1"/>
  <c r="G46" i="2"/>
  <c r="G24" i="1" s="1"/>
  <c r="F8" i="1"/>
  <c r="G22" i="2"/>
  <c r="G12" i="1" s="1"/>
  <c r="I46" i="2"/>
  <c r="I24" i="1" s="1"/>
  <c r="E8" i="1"/>
  <c r="E21" i="2"/>
  <c r="M21" i="2"/>
  <c r="M8" i="1"/>
  <c r="N12" i="2"/>
  <c r="F42" i="2" l="1"/>
  <c r="F16" i="1"/>
  <c r="E37" i="2"/>
  <c r="E11" i="1"/>
  <c r="H42" i="2"/>
  <c r="H16" i="1"/>
  <c r="N21" i="2"/>
  <c r="N11" i="1" s="1"/>
  <c r="B23" i="1"/>
  <c r="L16" i="1"/>
  <c r="L42" i="2"/>
  <c r="I45" i="2"/>
  <c r="I23" i="1" s="1"/>
  <c r="I20" i="1"/>
  <c r="N22" i="2"/>
  <c r="N12" i="1" s="1"/>
  <c r="N8" i="1"/>
  <c r="N46" i="2"/>
  <c r="N24" i="1" s="1"/>
  <c r="C20" i="1"/>
  <c r="C45" i="2"/>
  <c r="C23" i="1" s="1"/>
  <c r="D16" i="1"/>
  <c r="D42" i="2"/>
  <c r="M37" i="2"/>
  <c r="M11" i="1"/>
  <c r="G45" i="2"/>
  <c r="G23" i="1" s="1"/>
  <c r="G20" i="1"/>
  <c r="K45" i="2"/>
  <c r="K23" i="1" s="1"/>
  <c r="K20" i="1"/>
  <c r="F45" i="2" l="1"/>
  <c r="F23" i="1" s="1"/>
  <c r="F20" i="1"/>
  <c r="M42" i="2"/>
  <c r="M16" i="1"/>
  <c r="N37" i="2"/>
  <c r="N16" i="1" s="1"/>
  <c r="H45" i="2"/>
  <c r="H23" i="1" s="1"/>
  <c r="H20" i="1"/>
  <c r="D45" i="2"/>
  <c r="D20" i="1"/>
  <c r="L45" i="2"/>
  <c r="L23" i="1" s="1"/>
  <c r="L20" i="1"/>
  <c r="E42" i="2"/>
  <c r="N42" i="2" s="1"/>
  <c r="N20" i="1" s="1"/>
  <c r="E16" i="1"/>
  <c r="D23" i="1" l="1"/>
  <c r="E20" i="1"/>
  <c r="E45" i="2"/>
  <c r="E23" i="1" s="1"/>
  <c r="M20" i="1"/>
  <c r="M45" i="2"/>
  <c r="M23" i="1" s="1"/>
  <c r="N45" i="2" l="1"/>
  <c r="N23" i="1" s="1"/>
</calcChain>
</file>

<file path=xl/sharedStrings.xml><?xml version="1.0" encoding="utf-8"?>
<sst xmlns="http://schemas.openxmlformats.org/spreadsheetml/2006/main" count="71" uniqueCount="53">
  <si>
    <t>Monthly profit and loss summary</t>
  </si>
  <si>
    <t>Business / project</t>
  </si>
  <si>
    <t>Year</t>
  </si>
  <si>
    <t>Currency</t>
  </si>
  <si>
    <t>Report type</t>
  </si>
  <si>
    <t>Linked to the Breakdown sheet.</t>
  </si>
  <si>
    <t>Blank inputs are treated as zero. Complete every month before using the results.</t>
  </si>
  <si>
    <t>Category</t>
  </si>
  <si>
    <t>Annual total</t>
  </si>
  <si>
    <t>Total revenue</t>
  </si>
  <si>
    <t>Total COGS</t>
  </si>
  <si>
    <t>Gross profit</t>
  </si>
  <si>
    <t>Gross profit margin</t>
  </si>
  <si>
    <t>Total indirect costs</t>
  </si>
  <si>
    <t>Operating profit / (loss)</t>
  </si>
  <si>
    <t>Other income</t>
  </si>
  <si>
    <t>Interest expense</t>
  </si>
  <si>
    <t>Profit / (loss) before tax</t>
  </si>
  <si>
    <t>Income tax expense</t>
  </si>
  <si>
    <t>Net profit / (loss)</t>
  </si>
  <si>
    <t>Net profit margin</t>
  </si>
  <si>
    <t>Monthly profit and loss breakdown</t>
  </si>
  <si>
    <t>Enter business name</t>
  </si>
  <si>
    <t>IQD</t>
  </si>
  <si>
    <t>Budget</t>
  </si>
  <si>
    <t>Enter amounts in yellow cells.</t>
  </si>
  <si>
    <t>Rename the product and cost labels as needed. Enter costs and discounts as positive amounts.</t>
  </si>
  <si>
    <t>REVENUE</t>
  </si>
  <si>
    <t>Product / service 1</t>
  </si>
  <si>
    <t>Product / service 2</t>
  </si>
  <si>
    <t>Product / service 3</t>
  </si>
  <si>
    <t>Less: discounts and returns</t>
  </si>
  <si>
    <t>COST OF GOODS SOLD (COGS)</t>
  </si>
  <si>
    <t>Materials / merchandise sold</t>
  </si>
  <si>
    <t>Direct labor for goods sold</t>
  </si>
  <si>
    <t>Packaging for goods sold</t>
  </si>
  <si>
    <t>Other direct costs for goods sold</t>
  </si>
  <si>
    <t>INDIRECT COSTS</t>
  </si>
  <si>
    <t>Rent</t>
  </si>
  <si>
    <t>Administrative salaries</t>
  </si>
  <si>
    <t>Utilities</t>
  </si>
  <si>
    <t>Marketing and advertising</t>
  </si>
  <si>
    <t>Transport and delivery</t>
  </si>
  <si>
    <t>Repairs and maintenance</t>
  </si>
  <si>
    <t>Office supplies and internet</t>
  </si>
  <si>
    <t>Licenses and insurance</t>
  </si>
  <si>
    <t>Depreciation (indirect assets)</t>
  </si>
  <si>
    <t>Other indirect costs</t>
  </si>
  <si>
    <t>OTHER INCOME AND EXPENSES</t>
  </si>
  <si>
    <t>COGS: enter the cost of items sold in the month. Inventory purchases may differ from COGS.</t>
  </si>
  <si>
    <t>Record each cost once, either in COGS or indirect costs. Classify it according to its business use.</t>
  </si>
  <si>
    <t>Asset purchases and loan principal are excluded. Enter relevant depreciation and interest instead.</t>
  </si>
  <si>
    <t>Revenue means sales earned during the month, including credit sales. It is not cash collected.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</si>
</sst>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\ \ @"/>
    <numFmt numFmtId="166" formatCode="0.0%;\(0.0%\);&quot;-&quot;"/>
  </numFmts>
  <fonts count="8">
    <font>
      <sz val="11"/>
      <name val="Carlito"/>
    </font>
    <font>
      <sz val="10"/>
      <color rgb="FF172B4D"/>
      <name val="Arial"/>
    </font>
    <font>
      <b/>
      <sz val="16"/>
      <color rgb="FF17365D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10"/>
      <color rgb="FF52627A"/>
      <name val="Arial"/>
    </font>
    <font>
      <b/>
      <sz val="10"/>
      <color rgb="FF172B4D"/>
      <name val="Arial"/>
    </font>
    <font>
      <i/>
      <sz val="10"/>
      <color rgb="FF172B4D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0F4F8"/>
      </patternFill>
    </fill>
    <fill>
      <patternFill patternType="solid">
        <fgColor rgb="FFFFF2CC"/>
      </patternFill>
    </fill>
    <fill>
      <patternFill patternType="solid">
        <fgColor rgb="FFDCEAF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 style="thin">
        <color rgb="FF9FB3C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17" fontId="3" fillId="2" borderId="0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Border="1" applyAlignment="1">
      <alignment horizontal="right" vertical="center"/>
    </xf>
    <xf numFmtId="0" fontId="4" fillId="4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horizontal="right" vertical="center"/>
    </xf>
    <xf numFmtId="0" fontId="6" fillId="5" borderId="2" xfId="0" applyNumberFormat="1" applyFont="1" applyFill="1" applyBorder="1" applyAlignment="1">
      <alignment vertical="center"/>
    </xf>
    <xf numFmtId="164" fontId="6" fillId="5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vertical="center"/>
    </xf>
    <xf numFmtId="166" fontId="7" fillId="0" borderId="0" xfId="0" applyNumberFormat="1" applyFont="1" applyFill="1" applyBorder="1" applyAlignment="1">
      <alignment horizontal="right" vertical="center"/>
    </xf>
    <xf numFmtId="166" fontId="7" fillId="3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8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25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3.8"/>
  <cols>
    <col min="1" max="1" width="36" customWidth="1"/>
    <col min="2" max="13" width="14" customWidth="1"/>
    <col min="14" max="14" width="16" customWidth="1"/>
  </cols>
  <sheetData>
    <row r="1" spans="1:14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22.05" customHeight="1">
      <c r="A3" s="1" t="s">
        <v>1</v>
      </c>
      <c r="B3" s="1" t="str">
        <f>Breakdown!B3</f>
        <v>Enter business name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2.05" customHeight="1">
      <c r="A4" s="1" t="s">
        <v>2</v>
      </c>
      <c r="B4" s="1">
        <f>Breakdown!B4</f>
        <v>2026</v>
      </c>
      <c r="C4" s="1"/>
      <c r="D4" s="1" t="s">
        <v>3</v>
      </c>
      <c r="E4" s="1" t="str">
        <f>Breakdown!E4</f>
        <v>IQD</v>
      </c>
      <c r="F4" s="1"/>
      <c r="G4" s="1" t="s">
        <v>4</v>
      </c>
      <c r="H4" s="1" t="str">
        <f>Breakdown!H4</f>
        <v>Budget</v>
      </c>
      <c r="I4" s="1"/>
      <c r="J4" s="1"/>
      <c r="K4" s="1"/>
      <c r="L4" s="1"/>
      <c r="M4" s="1"/>
      <c r="N4" s="1"/>
    </row>
    <row r="5" spans="1:14" ht="22.05" customHeight="1">
      <c r="A5" s="1" t="s">
        <v>5</v>
      </c>
      <c r="B5" s="10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"/>
    </row>
    <row r="6" spans="1:14" ht="22.05" customHeight="1">
      <c r="A6" s="6" t="s">
        <v>7</v>
      </c>
      <c r="B6" s="7">
        <f>Breakdown!B6</f>
        <v>46023</v>
      </c>
      <c r="C6" s="7">
        <f>Breakdown!C6</f>
        <v>46054</v>
      </c>
      <c r="D6" s="7">
        <f>Breakdown!D6</f>
        <v>46082</v>
      </c>
      <c r="E6" s="7">
        <f>Breakdown!E6</f>
        <v>46113</v>
      </c>
      <c r="F6" s="7">
        <f>Breakdown!F6</f>
        <v>46143</v>
      </c>
      <c r="G6" s="7">
        <f>Breakdown!G6</f>
        <v>46174</v>
      </c>
      <c r="H6" s="7">
        <f>Breakdown!H6</f>
        <v>46204</v>
      </c>
      <c r="I6" s="7">
        <f>Breakdown!I6</f>
        <v>46235</v>
      </c>
      <c r="J6" s="7">
        <f>Breakdown!J6</f>
        <v>46266</v>
      </c>
      <c r="K6" s="7">
        <f>Breakdown!K6</f>
        <v>46296</v>
      </c>
      <c r="L6" s="7">
        <f>Breakdown!L6</f>
        <v>46327</v>
      </c>
      <c r="M6" s="7">
        <f>Breakdown!M6</f>
        <v>46357</v>
      </c>
      <c r="N6" s="6" t="s">
        <v>8</v>
      </c>
    </row>
    <row r="7" spans="1:14" ht="22.0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8"/>
    </row>
    <row r="8" spans="1:14" ht="22.05" customHeight="1">
      <c r="A8" s="14" t="s">
        <v>9</v>
      </c>
      <c r="B8" s="15">
        <f>Breakdown!B12</f>
        <v>0</v>
      </c>
      <c r="C8" s="15">
        <f>Breakdown!C12</f>
        <v>0</v>
      </c>
      <c r="D8" s="15">
        <f>Breakdown!D12</f>
        <v>0</v>
      </c>
      <c r="E8" s="15">
        <f>Breakdown!E12</f>
        <v>0</v>
      </c>
      <c r="F8" s="15">
        <f>Breakdown!F12</f>
        <v>0</v>
      </c>
      <c r="G8" s="15">
        <f>Breakdown!G12</f>
        <v>0</v>
      </c>
      <c r="H8" s="15">
        <f>Breakdown!H12</f>
        <v>0</v>
      </c>
      <c r="I8" s="15">
        <f>Breakdown!I12</f>
        <v>0</v>
      </c>
      <c r="J8" s="15">
        <f>Breakdown!J12</f>
        <v>0</v>
      </c>
      <c r="K8" s="15">
        <f>Breakdown!K12</f>
        <v>0</v>
      </c>
      <c r="L8" s="15">
        <f>Breakdown!L12</f>
        <v>0</v>
      </c>
      <c r="M8" s="15">
        <f>Breakdown!M12</f>
        <v>0</v>
      </c>
      <c r="N8" s="15">
        <f>Breakdown!N12</f>
        <v>0</v>
      </c>
    </row>
    <row r="9" spans="1:14" ht="22.05" customHeight="1">
      <c r="A9" s="14" t="s">
        <v>10</v>
      </c>
      <c r="B9" s="15">
        <f>Breakdown!B19</f>
        <v>0</v>
      </c>
      <c r="C9" s="15">
        <f>Breakdown!C19</f>
        <v>0</v>
      </c>
      <c r="D9" s="15">
        <f>Breakdown!D19</f>
        <v>0</v>
      </c>
      <c r="E9" s="15">
        <f>Breakdown!E19</f>
        <v>0</v>
      </c>
      <c r="F9" s="15">
        <f>Breakdown!F19</f>
        <v>0</v>
      </c>
      <c r="G9" s="15">
        <f>Breakdown!G19</f>
        <v>0</v>
      </c>
      <c r="H9" s="15">
        <f>Breakdown!H19</f>
        <v>0</v>
      </c>
      <c r="I9" s="15">
        <f>Breakdown!I19</f>
        <v>0</v>
      </c>
      <c r="J9" s="15">
        <f>Breakdown!J19</f>
        <v>0</v>
      </c>
      <c r="K9" s="15">
        <f>Breakdown!K19</f>
        <v>0</v>
      </c>
      <c r="L9" s="15">
        <f>Breakdown!L19</f>
        <v>0</v>
      </c>
      <c r="M9" s="15">
        <f>Breakdown!M19</f>
        <v>0</v>
      </c>
      <c r="N9" s="15">
        <f>Breakdown!N19</f>
        <v>0</v>
      </c>
    </row>
    <row r="10" spans="1:14" ht="22.0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8"/>
    </row>
    <row r="11" spans="1:14" ht="22.05" customHeight="1">
      <c r="A11" s="14" t="s">
        <v>11</v>
      </c>
      <c r="B11" s="15">
        <f>Breakdown!B21</f>
        <v>0</v>
      </c>
      <c r="C11" s="15">
        <f>Breakdown!C21</f>
        <v>0</v>
      </c>
      <c r="D11" s="15">
        <f>Breakdown!D21</f>
        <v>0</v>
      </c>
      <c r="E11" s="15">
        <f>Breakdown!E21</f>
        <v>0</v>
      </c>
      <c r="F11" s="15">
        <f>Breakdown!F21</f>
        <v>0</v>
      </c>
      <c r="G11" s="15">
        <f>Breakdown!G21</f>
        <v>0</v>
      </c>
      <c r="H11" s="15">
        <f>Breakdown!H21</f>
        <v>0</v>
      </c>
      <c r="I11" s="15">
        <f>Breakdown!I21</f>
        <v>0</v>
      </c>
      <c r="J11" s="15">
        <f>Breakdown!J21</f>
        <v>0</v>
      </c>
      <c r="K11" s="15">
        <f>Breakdown!K21</f>
        <v>0</v>
      </c>
      <c r="L11" s="15">
        <f>Breakdown!L21</f>
        <v>0</v>
      </c>
      <c r="M11" s="15">
        <f>Breakdown!M21</f>
        <v>0</v>
      </c>
      <c r="N11" s="15">
        <f>Breakdown!N21</f>
        <v>0</v>
      </c>
    </row>
    <row r="12" spans="1:14" ht="22.05" customHeight="1">
      <c r="A12" s="18" t="s">
        <v>12</v>
      </c>
      <c r="B12" s="19" t="str">
        <f>Breakdown!B22</f>
        <v>n.a.</v>
      </c>
      <c r="C12" s="19" t="str">
        <f>Breakdown!C22</f>
        <v>n.a.</v>
      </c>
      <c r="D12" s="19" t="str">
        <f>Breakdown!D22</f>
        <v>n.a.</v>
      </c>
      <c r="E12" s="19" t="str">
        <f>Breakdown!E22</f>
        <v>n.a.</v>
      </c>
      <c r="F12" s="19" t="str">
        <f>Breakdown!F22</f>
        <v>n.a.</v>
      </c>
      <c r="G12" s="19" t="str">
        <f>Breakdown!G22</f>
        <v>n.a.</v>
      </c>
      <c r="H12" s="19" t="str">
        <f>Breakdown!H22</f>
        <v>n.a.</v>
      </c>
      <c r="I12" s="19" t="str">
        <f>Breakdown!I22</f>
        <v>n.a.</v>
      </c>
      <c r="J12" s="19" t="str">
        <f>Breakdown!J22</f>
        <v>n.a.</v>
      </c>
      <c r="K12" s="19" t="str">
        <f>Breakdown!K22</f>
        <v>n.a.</v>
      </c>
      <c r="L12" s="19" t="str">
        <f>Breakdown!L22</f>
        <v>n.a.</v>
      </c>
      <c r="M12" s="19" t="str">
        <f>Breakdown!M22</f>
        <v>n.a.</v>
      </c>
      <c r="N12" s="20" t="str">
        <f>Breakdown!N22</f>
        <v>n.a.</v>
      </c>
    </row>
    <row r="13" spans="1:14" ht="22.0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8"/>
    </row>
    <row r="14" spans="1:14" ht="22.05" customHeight="1">
      <c r="A14" s="14" t="s">
        <v>13</v>
      </c>
      <c r="B14" s="15">
        <f>Breakdown!B35</f>
        <v>0</v>
      </c>
      <c r="C14" s="15">
        <f>Breakdown!C35</f>
        <v>0</v>
      </c>
      <c r="D14" s="15">
        <f>Breakdown!D35</f>
        <v>0</v>
      </c>
      <c r="E14" s="15">
        <f>Breakdown!E35</f>
        <v>0</v>
      </c>
      <c r="F14" s="15">
        <f>Breakdown!F35</f>
        <v>0</v>
      </c>
      <c r="G14" s="15">
        <f>Breakdown!G35</f>
        <v>0</v>
      </c>
      <c r="H14" s="15">
        <f>Breakdown!H35</f>
        <v>0</v>
      </c>
      <c r="I14" s="15">
        <f>Breakdown!I35</f>
        <v>0</v>
      </c>
      <c r="J14" s="15">
        <f>Breakdown!J35</f>
        <v>0</v>
      </c>
      <c r="K14" s="15">
        <f>Breakdown!K35</f>
        <v>0</v>
      </c>
      <c r="L14" s="15">
        <f>Breakdown!L35</f>
        <v>0</v>
      </c>
      <c r="M14" s="15">
        <f>Breakdown!M35</f>
        <v>0</v>
      </c>
      <c r="N14" s="15">
        <f>Breakdown!N35</f>
        <v>0</v>
      </c>
    </row>
    <row r="15" spans="1:14" ht="22.0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8"/>
    </row>
    <row r="16" spans="1:14" ht="22.05" customHeight="1">
      <c r="A16" s="14" t="s">
        <v>14</v>
      </c>
      <c r="B16" s="15">
        <f>Breakdown!B37</f>
        <v>0</v>
      </c>
      <c r="C16" s="15">
        <f>Breakdown!C37</f>
        <v>0</v>
      </c>
      <c r="D16" s="15">
        <f>Breakdown!D37</f>
        <v>0</v>
      </c>
      <c r="E16" s="15">
        <f>Breakdown!E37</f>
        <v>0</v>
      </c>
      <c r="F16" s="15">
        <f>Breakdown!F37</f>
        <v>0</v>
      </c>
      <c r="G16" s="15">
        <f>Breakdown!G37</f>
        <v>0</v>
      </c>
      <c r="H16" s="15">
        <f>Breakdown!H37</f>
        <v>0</v>
      </c>
      <c r="I16" s="15">
        <f>Breakdown!I37</f>
        <v>0</v>
      </c>
      <c r="J16" s="15">
        <f>Breakdown!J37</f>
        <v>0</v>
      </c>
      <c r="K16" s="15">
        <f>Breakdown!K37</f>
        <v>0</v>
      </c>
      <c r="L16" s="15">
        <f>Breakdown!L37</f>
        <v>0</v>
      </c>
      <c r="M16" s="15">
        <f>Breakdown!M37</f>
        <v>0</v>
      </c>
      <c r="N16" s="15">
        <f>Breakdown!N37</f>
        <v>0</v>
      </c>
    </row>
    <row r="17" spans="1:14" ht="22.0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8"/>
    </row>
    <row r="18" spans="1:14" ht="22.05" customHeight="1">
      <c r="A18" s="1" t="s">
        <v>15</v>
      </c>
      <c r="B18" s="2">
        <f>Breakdown!B40</f>
        <v>0</v>
      </c>
      <c r="C18" s="2">
        <f>Breakdown!C40</f>
        <v>0</v>
      </c>
      <c r="D18" s="2">
        <f>Breakdown!D40</f>
        <v>0</v>
      </c>
      <c r="E18" s="2">
        <f>Breakdown!E40</f>
        <v>0</v>
      </c>
      <c r="F18" s="2">
        <f>Breakdown!F40</f>
        <v>0</v>
      </c>
      <c r="G18" s="2">
        <f>Breakdown!G40</f>
        <v>0</v>
      </c>
      <c r="H18" s="2">
        <f>Breakdown!H40</f>
        <v>0</v>
      </c>
      <c r="I18" s="2">
        <f>Breakdown!I40</f>
        <v>0</v>
      </c>
      <c r="J18" s="2">
        <f>Breakdown!J40</f>
        <v>0</v>
      </c>
      <c r="K18" s="2">
        <f>Breakdown!K40</f>
        <v>0</v>
      </c>
      <c r="L18" s="2">
        <f>Breakdown!L40</f>
        <v>0</v>
      </c>
      <c r="M18" s="2">
        <f>Breakdown!M40</f>
        <v>0</v>
      </c>
      <c r="N18" s="8">
        <f>Breakdown!N40</f>
        <v>0</v>
      </c>
    </row>
    <row r="19" spans="1:14" ht="22.05" customHeight="1">
      <c r="A19" s="1" t="s">
        <v>16</v>
      </c>
      <c r="B19" s="2">
        <f>Breakdown!B41</f>
        <v>0</v>
      </c>
      <c r="C19" s="2">
        <f>Breakdown!C41</f>
        <v>0</v>
      </c>
      <c r="D19" s="2">
        <f>Breakdown!D41</f>
        <v>0</v>
      </c>
      <c r="E19" s="2">
        <f>Breakdown!E41</f>
        <v>0</v>
      </c>
      <c r="F19" s="2">
        <f>Breakdown!F41</f>
        <v>0</v>
      </c>
      <c r="G19" s="2">
        <f>Breakdown!G41</f>
        <v>0</v>
      </c>
      <c r="H19" s="2">
        <f>Breakdown!H41</f>
        <v>0</v>
      </c>
      <c r="I19" s="2">
        <f>Breakdown!I41</f>
        <v>0</v>
      </c>
      <c r="J19" s="2">
        <f>Breakdown!J41</f>
        <v>0</v>
      </c>
      <c r="K19" s="2">
        <f>Breakdown!K41</f>
        <v>0</v>
      </c>
      <c r="L19" s="2">
        <f>Breakdown!L41</f>
        <v>0</v>
      </c>
      <c r="M19" s="2">
        <f>Breakdown!M41</f>
        <v>0</v>
      </c>
      <c r="N19" s="8">
        <f>Breakdown!N41</f>
        <v>0</v>
      </c>
    </row>
    <row r="20" spans="1:14" ht="22.05" customHeight="1">
      <c r="A20" s="14" t="s">
        <v>17</v>
      </c>
      <c r="B20" s="15">
        <f>Breakdown!B42</f>
        <v>0</v>
      </c>
      <c r="C20" s="15">
        <f>Breakdown!C42</f>
        <v>0</v>
      </c>
      <c r="D20" s="15">
        <f>Breakdown!D42</f>
        <v>0</v>
      </c>
      <c r="E20" s="15">
        <f>Breakdown!E42</f>
        <v>0</v>
      </c>
      <c r="F20" s="15">
        <f>Breakdown!F42</f>
        <v>0</v>
      </c>
      <c r="G20" s="15">
        <f>Breakdown!G42</f>
        <v>0</v>
      </c>
      <c r="H20" s="15">
        <f>Breakdown!H42</f>
        <v>0</v>
      </c>
      <c r="I20" s="15">
        <f>Breakdown!I42</f>
        <v>0</v>
      </c>
      <c r="J20" s="15">
        <f>Breakdown!J42</f>
        <v>0</v>
      </c>
      <c r="K20" s="15">
        <f>Breakdown!K42</f>
        <v>0</v>
      </c>
      <c r="L20" s="15">
        <f>Breakdown!L42</f>
        <v>0</v>
      </c>
      <c r="M20" s="15">
        <f>Breakdown!M42</f>
        <v>0</v>
      </c>
      <c r="N20" s="15">
        <f>Breakdown!N42</f>
        <v>0</v>
      </c>
    </row>
    <row r="21" spans="1:14" ht="22.05" customHeight="1">
      <c r="A21" s="1" t="s">
        <v>18</v>
      </c>
      <c r="B21" s="2">
        <f>Breakdown!B43</f>
        <v>0</v>
      </c>
      <c r="C21" s="2">
        <f>Breakdown!C43</f>
        <v>0</v>
      </c>
      <c r="D21" s="2">
        <f>Breakdown!D43</f>
        <v>0</v>
      </c>
      <c r="E21" s="2">
        <f>Breakdown!E43</f>
        <v>0</v>
      </c>
      <c r="F21" s="2">
        <f>Breakdown!F43</f>
        <v>0</v>
      </c>
      <c r="G21" s="2">
        <f>Breakdown!G43</f>
        <v>0</v>
      </c>
      <c r="H21" s="2">
        <f>Breakdown!H43</f>
        <v>0</v>
      </c>
      <c r="I21" s="2">
        <f>Breakdown!I43</f>
        <v>0</v>
      </c>
      <c r="J21" s="2">
        <f>Breakdown!J43</f>
        <v>0</v>
      </c>
      <c r="K21" s="2">
        <f>Breakdown!K43</f>
        <v>0</v>
      </c>
      <c r="L21" s="2">
        <f>Breakdown!L43</f>
        <v>0</v>
      </c>
      <c r="M21" s="2">
        <f>Breakdown!M43</f>
        <v>0</v>
      </c>
      <c r="N21" s="8">
        <f>Breakdown!N43</f>
        <v>0</v>
      </c>
    </row>
    <row r="22" spans="1:14" ht="22.0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8"/>
    </row>
    <row r="23" spans="1:14" ht="22.05" customHeight="1">
      <c r="A23" s="16" t="s">
        <v>19</v>
      </c>
      <c r="B23" s="17">
        <f>Breakdown!B45</f>
        <v>0</v>
      </c>
      <c r="C23" s="17">
        <f>Breakdown!C45</f>
        <v>0</v>
      </c>
      <c r="D23" s="17">
        <f>Breakdown!D45</f>
        <v>0</v>
      </c>
      <c r="E23" s="17">
        <f>Breakdown!E45</f>
        <v>0</v>
      </c>
      <c r="F23" s="17">
        <f>Breakdown!F45</f>
        <v>0</v>
      </c>
      <c r="G23" s="17">
        <f>Breakdown!G45</f>
        <v>0</v>
      </c>
      <c r="H23" s="17">
        <f>Breakdown!H45</f>
        <v>0</v>
      </c>
      <c r="I23" s="17">
        <f>Breakdown!I45</f>
        <v>0</v>
      </c>
      <c r="J23" s="17">
        <f>Breakdown!J45</f>
        <v>0</v>
      </c>
      <c r="K23" s="17">
        <f>Breakdown!K45</f>
        <v>0</v>
      </c>
      <c r="L23" s="17">
        <f>Breakdown!L45</f>
        <v>0</v>
      </c>
      <c r="M23" s="17">
        <f>Breakdown!M45</f>
        <v>0</v>
      </c>
      <c r="N23" s="17">
        <f>Breakdown!N45</f>
        <v>0</v>
      </c>
    </row>
    <row r="24" spans="1:14" ht="22.05" customHeight="1">
      <c r="A24" s="18" t="s">
        <v>20</v>
      </c>
      <c r="B24" s="19" t="str">
        <f>Breakdown!B46</f>
        <v>n.a.</v>
      </c>
      <c r="C24" s="19" t="str">
        <f>Breakdown!C46</f>
        <v>n.a.</v>
      </c>
      <c r="D24" s="19" t="str">
        <f>Breakdown!D46</f>
        <v>n.a.</v>
      </c>
      <c r="E24" s="19" t="str">
        <f>Breakdown!E46</f>
        <v>n.a.</v>
      </c>
      <c r="F24" s="19" t="str">
        <f>Breakdown!F46</f>
        <v>n.a.</v>
      </c>
      <c r="G24" s="19" t="str">
        <f>Breakdown!G46</f>
        <v>n.a.</v>
      </c>
      <c r="H24" s="19" t="str">
        <f>Breakdown!H46</f>
        <v>n.a.</v>
      </c>
      <c r="I24" s="19" t="str">
        <f>Breakdown!I46</f>
        <v>n.a.</v>
      </c>
      <c r="J24" s="19" t="str">
        <f>Breakdown!J46</f>
        <v>n.a.</v>
      </c>
      <c r="K24" s="19" t="str">
        <f>Breakdown!K46</f>
        <v>n.a.</v>
      </c>
      <c r="L24" s="19" t="str">
        <f>Breakdown!L46</f>
        <v>n.a.</v>
      </c>
      <c r="M24" s="19" t="str">
        <f>Breakdown!M46</f>
        <v>n.a.</v>
      </c>
      <c r="N24" s="20" t="str">
        <f>Breakdown!N46</f>
        <v>n.a.</v>
      </c>
    </row>
    <row r="25" spans="1:14" ht="22.0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8"/>
    </row>
  </sheetData>
  <conditionalFormatting sqref="B11:N11">
    <cfRule type="cellIs" dxfId="7" priority="1" operator="lessThan">
      <formula>0</formula>
    </cfRule>
  </conditionalFormatting>
  <conditionalFormatting sqref="B16:N16">
    <cfRule type="cellIs" dxfId="6" priority="2" operator="lessThan">
      <formula>0</formula>
    </cfRule>
  </conditionalFormatting>
  <conditionalFormatting sqref="B20:N20">
    <cfRule type="cellIs" dxfId="5" priority="3" operator="lessThan">
      <formula>0</formula>
    </cfRule>
  </conditionalFormatting>
  <conditionalFormatting sqref="B23:N23">
    <cfRule type="cellIs" dxfId="4" priority="4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493BA"/>
  </sheetPr>
  <dimension ref="A1:N52"/>
  <sheetViews>
    <sheetView showGridLines="0" workbookViewId="0">
      <pane xSplit="1" ySplit="6" topLeftCell="B40" activePane="bottomRight" state="frozen"/>
      <selection pane="topRight"/>
      <selection pane="bottomLeft"/>
      <selection pane="bottomRight" activeCell="B7" sqref="B7"/>
    </sheetView>
  </sheetViews>
  <sheetFormatPr defaultRowHeight="13.8"/>
  <cols>
    <col min="1" max="1" width="36" customWidth="1"/>
    <col min="2" max="13" width="14" customWidth="1"/>
    <col min="14" max="14" width="16" customWidth="1"/>
  </cols>
  <sheetData>
    <row r="1" spans="1:14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>
      <c r="A2" s="3" t="s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22.05" customHeight="1">
      <c r="A3" s="1" t="s">
        <v>1</v>
      </c>
      <c r="B3" s="9" t="s">
        <v>22</v>
      </c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2.05" customHeight="1">
      <c r="A4" s="1" t="s">
        <v>2</v>
      </c>
      <c r="B4" s="9">
        <v>2026</v>
      </c>
      <c r="C4" s="1"/>
      <c r="D4" s="1" t="s">
        <v>3</v>
      </c>
      <c r="E4" s="9" t="s">
        <v>23</v>
      </c>
      <c r="F4" s="1"/>
      <c r="G4" s="1" t="s">
        <v>4</v>
      </c>
      <c r="H4" s="9" t="s">
        <v>24</v>
      </c>
      <c r="I4" s="1"/>
      <c r="J4" s="1"/>
      <c r="K4" s="1"/>
      <c r="L4" s="1"/>
      <c r="M4" s="1"/>
      <c r="N4" s="1"/>
    </row>
    <row r="5" spans="1:14" ht="22.05" customHeight="1">
      <c r="A5" s="1" t="s">
        <v>25</v>
      </c>
      <c r="B5" s="10" t="s">
        <v>26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"/>
    </row>
    <row r="6" spans="1:14" ht="22.05" customHeight="1">
      <c r="A6" s="6" t="s">
        <v>7</v>
      </c>
      <c r="B6" s="7">
        <f>DATE($B$4,1,1)</f>
        <v>46023</v>
      </c>
      <c r="C6" s="7">
        <f>DATE($B$4,2,1)</f>
        <v>46054</v>
      </c>
      <c r="D6" s="7">
        <f>DATE($B$4,3,1)</f>
        <v>46082</v>
      </c>
      <c r="E6" s="7">
        <f>DATE($B$4,4,1)</f>
        <v>46113</v>
      </c>
      <c r="F6" s="7">
        <f>DATE($B$4,5,1)</f>
        <v>46143</v>
      </c>
      <c r="G6" s="7">
        <f>DATE($B$4,6,1)</f>
        <v>46174</v>
      </c>
      <c r="H6" s="7">
        <f>DATE($B$4,7,1)</f>
        <v>46204</v>
      </c>
      <c r="I6" s="7">
        <f>DATE($B$4,8,1)</f>
        <v>46235</v>
      </c>
      <c r="J6" s="7">
        <f>DATE($B$4,9,1)</f>
        <v>46266</v>
      </c>
      <c r="K6" s="7">
        <f>DATE($B$4,10,1)</f>
        <v>46296</v>
      </c>
      <c r="L6" s="7">
        <f>DATE($B$4,11,1)</f>
        <v>46327</v>
      </c>
      <c r="M6" s="7">
        <f>DATE($B$4,12,1)</f>
        <v>46357</v>
      </c>
      <c r="N6" s="6" t="s">
        <v>8</v>
      </c>
    </row>
    <row r="7" spans="1:14" ht="22.05" customHeight="1">
      <c r="A7" s="5" t="s">
        <v>27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22.05" customHeight="1">
      <c r="A8" s="12" t="s">
        <v>28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8">
        <f>SUM(B8:M8)</f>
        <v>0</v>
      </c>
    </row>
    <row r="9" spans="1:14" ht="22.05" customHeight="1">
      <c r="A9" s="12" t="s">
        <v>29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8">
        <f>SUM(B9:M9)</f>
        <v>0</v>
      </c>
    </row>
    <row r="10" spans="1:14" ht="22.05" customHeight="1">
      <c r="A10" s="12" t="s">
        <v>30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8">
        <f>SUM(B10:M10)</f>
        <v>0</v>
      </c>
    </row>
    <row r="11" spans="1:14" ht="22.05" customHeight="1">
      <c r="A11" s="12" t="s">
        <v>31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8">
        <f>SUM(B11:M11)</f>
        <v>0</v>
      </c>
    </row>
    <row r="12" spans="1:14" ht="22.05" customHeight="1">
      <c r="A12" s="14" t="s">
        <v>9</v>
      </c>
      <c r="B12" s="15">
        <f t="shared" ref="B12:M12" si="0">SUM(B8:B10)-B11</f>
        <v>0</v>
      </c>
      <c r="C12" s="15">
        <f t="shared" si="0"/>
        <v>0</v>
      </c>
      <c r="D12" s="15">
        <f t="shared" si="0"/>
        <v>0</v>
      </c>
      <c r="E12" s="15">
        <f t="shared" si="0"/>
        <v>0</v>
      </c>
      <c r="F12" s="15">
        <f t="shared" si="0"/>
        <v>0</v>
      </c>
      <c r="G12" s="15">
        <f t="shared" si="0"/>
        <v>0</v>
      </c>
      <c r="H12" s="15">
        <f t="shared" si="0"/>
        <v>0</v>
      </c>
      <c r="I12" s="15">
        <f t="shared" si="0"/>
        <v>0</v>
      </c>
      <c r="J12" s="15">
        <f t="shared" si="0"/>
        <v>0</v>
      </c>
      <c r="K12" s="15">
        <f t="shared" si="0"/>
        <v>0</v>
      </c>
      <c r="L12" s="15">
        <f t="shared" si="0"/>
        <v>0</v>
      </c>
      <c r="M12" s="15">
        <f t="shared" si="0"/>
        <v>0</v>
      </c>
      <c r="N12" s="15">
        <f>SUM(B12:M12)</f>
        <v>0</v>
      </c>
    </row>
    <row r="13" spans="1:14" ht="22.0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8"/>
    </row>
    <row r="14" spans="1:14" ht="22.05" customHeight="1">
      <c r="A14" s="5" t="s">
        <v>32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22.05" customHeight="1">
      <c r="A15" s="12" t="s">
        <v>33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8">
        <f>SUM(B15:M15)</f>
        <v>0</v>
      </c>
    </row>
    <row r="16" spans="1:14" ht="22.05" customHeight="1">
      <c r="A16" s="12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8">
        <f>SUM(B16:M16)</f>
        <v>0</v>
      </c>
    </row>
    <row r="17" spans="1:14" ht="22.05" customHeight="1">
      <c r="A17" s="12" t="s">
        <v>35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8">
        <f>SUM(B17:M17)</f>
        <v>0</v>
      </c>
    </row>
    <row r="18" spans="1:14" ht="22.05" customHeight="1">
      <c r="A18" s="12" t="s">
        <v>36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8">
        <f>SUM(B18:M18)</f>
        <v>0</v>
      </c>
    </row>
    <row r="19" spans="1:14" ht="22.05" customHeight="1">
      <c r="A19" s="14" t="s">
        <v>10</v>
      </c>
      <c r="B19" s="15">
        <f t="shared" ref="B19:M19" si="1">SUM(B15:B18)</f>
        <v>0</v>
      </c>
      <c r="C19" s="15">
        <f t="shared" si="1"/>
        <v>0</v>
      </c>
      <c r="D19" s="15">
        <f t="shared" si="1"/>
        <v>0</v>
      </c>
      <c r="E19" s="15">
        <f t="shared" si="1"/>
        <v>0</v>
      </c>
      <c r="F19" s="15">
        <f t="shared" si="1"/>
        <v>0</v>
      </c>
      <c r="G19" s="15">
        <f t="shared" si="1"/>
        <v>0</v>
      </c>
      <c r="H19" s="15">
        <f t="shared" si="1"/>
        <v>0</v>
      </c>
      <c r="I19" s="15">
        <f t="shared" si="1"/>
        <v>0</v>
      </c>
      <c r="J19" s="15">
        <f t="shared" si="1"/>
        <v>0</v>
      </c>
      <c r="K19" s="15">
        <f t="shared" si="1"/>
        <v>0</v>
      </c>
      <c r="L19" s="15">
        <f t="shared" si="1"/>
        <v>0</v>
      </c>
      <c r="M19" s="15">
        <f t="shared" si="1"/>
        <v>0</v>
      </c>
      <c r="N19" s="15">
        <f>SUM(B19:M19)</f>
        <v>0</v>
      </c>
    </row>
    <row r="20" spans="1:14" ht="22.0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8"/>
    </row>
    <row r="21" spans="1:14" ht="22.05" customHeight="1">
      <c r="A21" s="14" t="s">
        <v>11</v>
      </c>
      <c r="B21" s="15">
        <f t="shared" ref="B21:M21" si="2">B12-B19</f>
        <v>0</v>
      </c>
      <c r="C21" s="15">
        <f t="shared" si="2"/>
        <v>0</v>
      </c>
      <c r="D21" s="15">
        <f t="shared" si="2"/>
        <v>0</v>
      </c>
      <c r="E21" s="15">
        <f t="shared" si="2"/>
        <v>0</v>
      </c>
      <c r="F21" s="15">
        <f t="shared" si="2"/>
        <v>0</v>
      </c>
      <c r="G21" s="15">
        <f t="shared" si="2"/>
        <v>0</v>
      </c>
      <c r="H21" s="15">
        <f t="shared" si="2"/>
        <v>0</v>
      </c>
      <c r="I21" s="15">
        <f t="shared" si="2"/>
        <v>0</v>
      </c>
      <c r="J21" s="15">
        <f t="shared" si="2"/>
        <v>0</v>
      </c>
      <c r="K21" s="15">
        <f t="shared" si="2"/>
        <v>0</v>
      </c>
      <c r="L21" s="15">
        <f t="shared" si="2"/>
        <v>0</v>
      </c>
      <c r="M21" s="15">
        <f t="shared" si="2"/>
        <v>0</v>
      </c>
      <c r="N21" s="15">
        <f>SUM(B21:M21)</f>
        <v>0</v>
      </c>
    </row>
    <row r="22" spans="1:14" ht="22.05" customHeight="1">
      <c r="A22" s="18" t="s">
        <v>12</v>
      </c>
      <c r="B22" s="19" t="str">
        <f t="shared" ref="B22:N22" si="3">IF(B12=0,"n.a.",B21/B12)</f>
        <v>n.a.</v>
      </c>
      <c r="C22" s="19" t="str">
        <f t="shared" si="3"/>
        <v>n.a.</v>
      </c>
      <c r="D22" s="19" t="str">
        <f t="shared" si="3"/>
        <v>n.a.</v>
      </c>
      <c r="E22" s="19" t="str">
        <f t="shared" si="3"/>
        <v>n.a.</v>
      </c>
      <c r="F22" s="19" t="str">
        <f t="shared" si="3"/>
        <v>n.a.</v>
      </c>
      <c r="G22" s="19" t="str">
        <f t="shared" si="3"/>
        <v>n.a.</v>
      </c>
      <c r="H22" s="19" t="str">
        <f t="shared" si="3"/>
        <v>n.a.</v>
      </c>
      <c r="I22" s="19" t="str">
        <f t="shared" si="3"/>
        <v>n.a.</v>
      </c>
      <c r="J22" s="19" t="str">
        <f t="shared" si="3"/>
        <v>n.a.</v>
      </c>
      <c r="K22" s="19" t="str">
        <f t="shared" si="3"/>
        <v>n.a.</v>
      </c>
      <c r="L22" s="19" t="str">
        <f t="shared" si="3"/>
        <v>n.a.</v>
      </c>
      <c r="M22" s="19" t="str">
        <f t="shared" si="3"/>
        <v>n.a.</v>
      </c>
      <c r="N22" s="20" t="str">
        <f t="shared" si="3"/>
        <v>n.a.</v>
      </c>
    </row>
    <row r="23" spans="1:14" ht="22.0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8"/>
    </row>
    <row r="24" spans="1:14" ht="22.05" customHeight="1">
      <c r="A24" s="5" t="s">
        <v>37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22.05" customHeight="1">
      <c r="A25" s="12" t="s">
        <v>38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8">
        <f t="shared" ref="N25:N35" si="4">SUM(B25:M25)</f>
        <v>0</v>
      </c>
    </row>
    <row r="26" spans="1:14" ht="22.05" customHeight="1">
      <c r="A26" s="12" t="s">
        <v>39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8">
        <f t="shared" si="4"/>
        <v>0</v>
      </c>
    </row>
    <row r="27" spans="1:14" ht="22.05" customHeight="1">
      <c r="A27" s="12" t="s">
        <v>40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8">
        <f t="shared" si="4"/>
        <v>0</v>
      </c>
    </row>
    <row r="28" spans="1:14" ht="22.05" customHeight="1">
      <c r="A28" s="12" t="s">
        <v>41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8">
        <f t="shared" si="4"/>
        <v>0</v>
      </c>
    </row>
    <row r="29" spans="1:14" ht="22.05" customHeight="1">
      <c r="A29" s="12" t="s">
        <v>42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8">
        <f t="shared" si="4"/>
        <v>0</v>
      </c>
    </row>
    <row r="30" spans="1:14" ht="22.05" customHeight="1">
      <c r="A30" s="12" t="s">
        <v>43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8">
        <f t="shared" si="4"/>
        <v>0</v>
      </c>
    </row>
    <row r="31" spans="1:14" ht="22.05" customHeight="1">
      <c r="A31" s="12" t="s">
        <v>44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8">
        <f t="shared" si="4"/>
        <v>0</v>
      </c>
    </row>
    <row r="32" spans="1:14" ht="22.05" customHeight="1">
      <c r="A32" s="12" t="s">
        <v>45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8">
        <f t="shared" si="4"/>
        <v>0</v>
      </c>
    </row>
    <row r="33" spans="1:14" ht="22.05" customHeight="1">
      <c r="A33" s="12" t="s">
        <v>46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8">
        <f t="shared" si="4"/>
        <v>0</v>
      </c>
    </row>
    <row r="34" spans="1:14" ht="22.05" customHeight="1">
      <c r="A34" s="12" t="s">
        <v>47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8">
        <f t="shared" si="4"/>
        <v>0</v>
      </c>
    </row>
    <row r="35" spans="1:14" ht="22.05" customHeight="1">
      <c r="A35" s="14" t="s">
        <v>13</v>
      </c>
      <c r="B35" s="15">
        <f t="shared" ref="B35:M35" si="5">SUM(B25:B34)</f>
        <v>0</v>
      </c>
      <c r="C35" s="15">
        <f t="shared" si="5"/>
        <v>0</v>
      </c>
      <c r="D35" s="15">
        <f t="shared" si="5"/>
        <v>0</v>
      </c>
      <c r="E35" s="15">
        <f t="shared" si="5"/>
        <v>0</v>
      </c>
      <c r="F35" s="15">
        <f t="shared" si="5"/>
        <v>0</v>
      </c>
      <c r="G35" s="15">
        <f t="shared" si="5"/>
        <v>0</v>
      </c>
      <c r="H35" s="15">
        <f t="shared" si="5"/>
        <v>0</v>
      </c>
      <c r="I35" s="15">
        <f t="shared" si="5"/>
        <v>0</v>
      </c>
      <c r="J35" s="15">
        <f t="shared" si="5"/>
        <v>0</v>
      </c>
      <c r="K35" s="15">
        <f t="shared" si="5"/>
        <v>0</v>
      </c>
      <c r="L35" s="15">
        <f t="shared" si="5"/>
        <v>0</v>
      </c>
      <c r="M35" s="15">
        <f t="shared" si="5"/>
        <v>0</v>
      </c>
      <c r="N35" s="15">
        <f t="shared" si="4"/>
        <v>0</v>
      </c>
    </row>
    <row r="36" spans="1:14" ht="22.0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8"/>
    </row>
    <row r="37" spans="1:14" ht="22.05" customHeight="1">
      <c r="A37" s="14" t="s">
        <v>14</v>
      </c>
      <c r="B37" s="15">
        <f t="shared" ref="B37:M37" si="6">B21-B35</f>
        <v>0</v>
      </c>
      <c r="C37" s="15">
        <f t="shared" si="6"/>
        <v>0</v>
      </c>
      <c r="D37" s="15">
        <f t="shared" si="6"/>
        <v>0</v>
      </c>
      <c r="E37" s="15">
        <f t="shared" si="6"/>
        <v>0</v>
      </c>
      <c r="F37" s="15">
        <f t="shared" si="6"/>
        <v>0</v>
      </c>
      <c r="G37" s="15">
        <f t="shared" si="6"/>
        <v>0</v>
      </c>
      <c r="H37" s="15">
        <f t="shared" si="6"/>
        <v>0</v>
      </c>
      <c r="I37" s="15">
        <f t="shared" si="6"/>
        <v>0</v>
      </c>
      <c r="J37" s="15">
        <f t="shared" si="6"/>
        <v>0</v>
      </c>
      <c r="K37" s="15">
        <f t="shared" si="6"/>
        <v>0</v>
      </c>
      <c r="L37" s="15">
        <f t="shared" si="6"/>
        <v>0</v>
      </c>
      <c r="M37" s="15">
        <f t="shared" si="6"/>
        <v>0</v>
      </c>
      <c r="N37" s="15">
        <f>SUM(B37:M37)</f>
        <v>0</v>
      </c>
    </row>
    <row r="38" spans="1:14" ht="22.0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8"/>
    </row>
    <row r="39" spans="1:14" ht="22.05" customHeight="1">
      <c r="A39" s="5" t="s">
        <v>48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 ht="22.05" customHeight="1">
      <c r="A40" s="12" t="s">
        <v>15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8">
        <f>SUM(B40:M40)</f>
        <v>0</v>
      </c>
    </row>
    <row r="41" spans="1:14" ht="22.05" customHeight="1">
      <c r="A41" s="12" t="s">
        <v>16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8">
        <f>SUM(B41:M41)</f>
        <v>0</v>
      </c>
    </row>
    <row r="42" spans="1:14" ht="22.05" customHeight="1">
      <c r="A42" s="14" t="s">
        <v>17</v>
      </c>
      <c r="B42" s="15">
        <f t="shared" ref="B42:M42" si="7">B37+B40-B41</f>
        <v>0</v>
      </c>
      <c r="C42" s="15">
        <f t="shared" si="7"/>
        <v>0</v>
      </c>
      <c r="D42" s="15">
        <f t="shared" si="7"/>
        <v>0</v>
      </c>
      <c r="E42" s="15">
        <f t="shared" si="7"/>
        <v>0</v>
      </c>
      <c r="F42" s="15">
        <f t="shared" si="7"/>
        <v>0</v>
      </c>
      <c r="G42" s="15">
        <f t="shared" si="7"/>
        <v>0</v>
      </c>
      <c r="H42" s="15">
        <f t="shared" si="7"/>
        <v>0</v>
      </c>
      <c r="I42" s="15">
        <f t="shared" si="7"/>
        <v>0</v>
      </c>
      <c r="J42" s="15">
        <f t="shared" si="7"/>
        <v>0</v>
      </c>
      <c r="K42" s="15">
        <f t="shared" si="7"/>
        <v>0</v>
      </c>
      <c r="L42" s="15">
        <f t="shared" si="7"/>
        <v>0</v>
      </c>
      <c r="M42" s="15">
        <f t="shared" si="7"/>
        <v>0</v>
      </c>
      <c r="N42" s="15">
        <f>SUM(B42:M42)</f>
        <v>0</v>
      </c>
    </row>
    <row r="43" spans="1:14" ht="22.05" customHeight="1">
      <c r="A43" s="12" t="s">
        <v>18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8">
        <f>SUM(B43:M43)</f>
        <v>0</v>
      </c>
    </row>
    <row r="44" spans="1:14" ht="22.0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8"/>
    </row>
    <row r="45" spans="1:14" ht="22.05" customHeight="1">
      <c r="A45" s="16" t="s">
        <v>19</v>
      </c>
      <c r="B45" s="17">
        <f t="shared" ref="B45:M45" si="8">B42-B43</f>
        <v>0</v>
      </c>
      <c r="C45" s="17">
        <f t="shared" si="8"/>
        <v>0</v>
      </c>
      <c r="D45" s="17">
        <f t="shared" si="8"/>
        <v>0</v>
      </c>
      <c r="E45" s="17">
        <f t="shared" si="8"/>
        <v>0</v>
      </c>
      <c r="F45" s="17">
        <f t="shared" si="8"/>
        <v>0</v>
      </c>
      <c r="G45" s="17">
        <f t="shared" si="8"/>
        <v>0</v>
      </c>
      <c r="H45" s="17">
        <f t="shared" si="8"/>
        <v>0</v>
      </c>
      <c r="I45" s="17">
        <f t="shared" si="8"/>
        <v>0</v>
      </c>
      <c r="J45" s="17">
        <f t="shared" si="8"/>
        <v>0</v>
      </c>
      <c r="K45" s="17">
        <f t="shared" si="8"/>
        <v>0</v>
      </c>
      <c r="L45" s="17">
        <f t="shared" si="8"/>
        <v>0</v>
      </c>
      <c r="M45" s="17">
        <f t="shared" si="8"/>
        <v>0</v>
      </c>
      <c r="N45" s="17">
        <f>SUM(B45:M45)</f>
        <v>0</v>
      </c>
    </row>
    <row r="46" spans="1:14" ht="22.05" customHeight="1">
      <c r="A46" s="18" t="s">
        <v>20</v>
      </c>
      <c r="B46" s="19" t="str">
        <f t="shared" ref="B46:N46" si="9">IF(B12=0,"n.a.",B45/B12)</f>
        <v>n.a.</v>
      </c>
      <c r="C46" s="19" t="str">
        <f t="shared" si="9"/>
        <v>n.a.</v>
      </c>
      <c r="D46" s="19" t="str">
        <f t="shared" si="9"/>
        <v>n.a.</v>
      </c>
      <c r="E46" s="19" t="str">
        <f t="shared" si="9"/>
        <v>n.a.</v>
      </c>
      <c r="F46" s="19" t="str">
        <f t="shared" si="9"/>
        <v>n.a.</v>
      </c>
      <c r="G46" s="19" t="str">
        <f t="shared" si="9"/>
        <v>n.a.</v>
      </c>
      <c r="H46" s="19" t="str">
        <f t="shared" si="9"/>
        <v>n.a.</v>
      </c>
      <c r="I46" s="19" t="str">
        <f t="shared" si="9"/>
        <v>n.a.</v>
      </c>
      <c r="J46" s="19" t="str">
        <f t="shared" si="9"/>
        <v>n.a.</v>
      </c>
      <c r="K46" s="19" t="str">
        <f t="shared" si="9"/>
        <v>n.a.</v>
      </c>
      <c r="L46" s="19" t="str">
        <f t="shared" si="9"/>
        <v>n.a.</v>
      </c>
      <c r="M46" s="19" t="str">
        <f t="shared" si="9"/>
        <v>n.a.</v>
      </c>
      <c r="N46" s="20" t="str">
        <f t="shared" si="9"/>
        <v>n.a.</v>
      </c>
    </row>
    <row r="47" spans="1:14" ht="22.0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8"/>
    </row>
    <row r="48" spans="1:14" ht="22.05" customHeight="1">
      <c r="A48" s="10" t="s">
        <v>49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  <row r="49" spans="1:14" ht="22.05" customHeight="1">
      <c r="A49" s="10" t="s">
        <v>50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</row>
    <row r="50" spans="1:14" ht="22.05" customHeight="1">
      <c r="A50" s="10" t="s">
        <v>51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2"/>
    </row>
    <row r="51" spans="1:14" ht="22.05" customHeight="1">
      <c r="A51" s="10" t="s">
        <v>52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</row>
    <row r="52" spans="1:14" ht="22.0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8"/>
    </row>
  </sheetData>
  <conditionalFormatting sqref="B21:N21">
    <cfRule type="cellIs" dxfId="3" priority="1" operator="lessThan">
      <formula>0</formula>
    </cfRule>
  </conditionalFormatting>
  <conditionalFormatting sqref="B37:N37">
    <cfRule type="cellIs" dxfId="2" priority="2" operator="lessThan">
      <formula>0</formula>
    </cfRule>
  </conditionalFormatting>
  <conditionalFormatting sqref="B42:N42">
    <cfRule type="cellIs" dxfId="1" priority="3" operator="lessThan">
      <formula>0</formula>
    </cfRule>
  </conditionalFormatting>
  <conditionalFormatting sqref="B45:N45">
    <cfRule type="cellIs" dxfId="0" priority="4" operator="lessThan">
      <formula>0</formula>
    </cfRule>
  </conditionalFormatting>
  <dataValidations count="2">
    <dataValidation type="list" sqref="H4" xr:uid="{00000000-0002-0000-0100-000000000000}">
      <formula1>"Budget,Actual,Forecast"</formula1>
    </dataValidation>
    <dataValidation type="whole" sqref="B4" xr:uid="{00000000-0002-0000-0100-000001000000}">
      <formula1>2000</formula1>
      <formula2>2100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Technology</dc:creator>
  <cp:lastModifiedBy>Lord Technology</cp:lastModifiedBy>
  <dcterms:created xsi:type="dcterms:W3CDTF">2026-10-08T09:46:16Z</dcterms:created>
  <dcterms:modified xsi:type="dcterms:W3CDTF">2026-10-08T09:46:16Z</dcterms:modified>
</cp:coreProperties>
</file>