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xmlns:ns8="http://schemas.microsoft.com/office/spreadsheetml/2018/calcfeatures" ns1:Ignorable="x15 xr xr6 xr10 xr2">
  <ns0:fileVersion appName="xl" lastEdited="7" lowestEdited="7" rupBuild="21328"/>
  <ns0:workbookPr/>
  <ns1:AlternateContent>
    <ns1:Choice Requires="x15">
      <ns2:absPath url="C:\Users\Java\Desktop\AUK Training\Capa\Final\"/>
    </ns1:Choice>
  </ns1:AlternateContent>
  <ns3:revisionPtr revIDLastSave="0" documentId="13_ncr:1_{AE6F281C-5ED7-4451-99AD-431A3A472820}" ns4:coauthVersionLast="41" ns4:coauthVersionMax="41" ns5:uidLastSave="{00000000-0000-0000-0000-000000000000}"/>
  <ns0:bookViews>
    <ns0:workbookView xWindow="-108" yWindow="-108" windowWidth="23256" windowHeight="12456" activeTab="2" ns6:uid="{00000000-000D-0000-FFFF-FFFF00000000}"/>
  </ns0:bookViews>
  <ns0:sheets>
    <ns0:sheet name="Summary" sheetId="1" ns7:id="rId1"/>
    <ns0:sheet name="Revenue" sheetId="2" ns7:id="rId2"/>
    <ns0:sheet name="Direct Costs" sheetId="3" ns7:id="rId3"/>
    <ns0:sheet name="Indirect Expenses" sheetId="4" ns7:id="rId4"/>
    <ns0:sheet name="Asset Purchases" sheetId="5" ns7:id="rId5"/>
  </ns0:sheets>
  <ns0:calcPr calcId="191029" fullCalcOnLoad="1" iterateCount="100"/>
  <ns0:extLst>
    <ns0:ext uri="{B58B0392-4F1F-4190-BB64-5DF3571DCE5F}">
      <ns8:calcFeatures>
        <ns8:feature name="microsoft.com:RD"/>
        <ns8:feature name="microsoft.com:FV"/>
      </ns8:calcFeatures>
    </ns0:ext>
  </ns0:extLst>
</ns0:workbook>
</file>

<file path=xl/calcChain.xml><?xml version="1.0" encoding="utf-8"?>
<calcChain xmlns="http://schemas.openxmlformats.org/spreadsheetml/2006/main">
  <c r="C11" i="5" l="1"/>
  <c r="D11" i="5" s="1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B5" i="5"/>
  <c r="B4" i="5"/>
  <c r="B31" i="4"/>
  <c r="B16" i="1" s="1"/>
  <c r="B34" i="1" s="1"/>
  <c r="B5" i="4"/>
  <c r="B4" i="4"/>
  <c r="B31" i="3"/>
  <c r="B12" i="1" s="1"/>
  <c r="B33" i="1" s="1"/>
  <c r="B5" i="3"/>
  <c r="B4" i="3"/>
  <c r="B31" i="2"/>
  <c r="B11" i="1" s="1"/>
  <c r="B5" i="2"/>
  <c r="B4" i="2"/>
  <c r="B35" i="1"/>
  <c r="B8" i="1"/>
  <c r="B36" i="1" l="1"/>
  <c r="D27" i="5"/>
  <c r="B38" i="1" s="1"/>
  <c r="B14" i="1"/>
  <c r="B18" i="1" s="1"/>
  <c r="B21" i="1" s="1"/>
  <c r="B20" i="1" l="1"/>
  <c r="B40" i="1"/>
  <c r="B44" i="1" s="1"/>
</calcChain>
</file>

<file path=xl/sharedStrings.xml><?xml version="1.0" encoding="utf-8"?>
<ns0:sst xmlns:ns0="http://schemas.openxmlformats.org/spreadsheetml/2006/main" count="134" uniqueCount="113">
  <ns0:si>
    <ns0:t>Simple business budget</ns0:t>
  </ns0:si>
  <ns0:si>
    <ns0:t>Business name</ns0:t>
  </ns0:si>
  <ns0:si>
    <ns0:t>Budget period</ns0:t>
  </ns0:si>
  <ns0:si>
    <ns0:t>Enter the month or period covered, e.g. October 2026.</ns0:t>
  </ns0:si>
  <ns0:si>
    <ns0:t>Currency</ns0:t>
  </ns0:si>
  <ns0:si>
    <ns0:t>IQD</ns0:t>
  </ns0:si>
  <ns0:si>
    <ns0:t>Use one currency throughout. Changing this label does not convert amounts.</ns0:t>
  </ns0:si>
  <ns0:si>
    <ns0:t>Budget status</ns0:t>
  </ns0:si>
  <ns0:si>
    <ns0:t>Budget summary</ns0:t>
  </ns0:si>
  <ns0:si>
    <ns0:t>Amount</ns0:t>
  </ns0:si>
  <ns0:si>
    <ns0:t>Total revenue</ns0:t>
  </ns0:si>
  <ns0:si>
    <ns0:t>Expected income from selling products or providing services.</ns0:t>
  </ns0:si>
  <ns0:si>
    <ns0:t>Less: direct costs</ns0:t>
  </ns0:si>
  <ns0:si>
    <ns0:t>Costs directly related to those products or services.</ns0:t>
  </ns0:si>
  <ns0:si>
    <ns0:t>Gross profit</ns0:t>
  </ns0:si>
  <ns0:si>
    <ns0:t>Revenue minus direct costs.</ns0:t>
  </ns0:si>
  <ns0:si>
    <ns0:t>Less: indirect and other expenses</ns0:t>
  </ns0:si>
  <ns0:si>
    <ns0:t>Business overheads, plus interest and income tax if applicable.</ns0:t>
  </ns0:si>
  <ns0:si>
    <ns0:t>Net profit / (loss)</ns0:t>
  </ns0:si>
  <ns0:si>
    <ns0:t>Gross profit minus indirect and other expenses.</ns0:t>
  </ns0:si>
  <ns0:si>
    <ns0:t>Gross profit margin</ns0:t>
  </ns0:si>
  <ns0:si>
    <ns0:t>Net profit margin</ns0:t>
  </ns0:si>
  <ns0:si>
    <ns0:t>How to use</ns0:t>
  </ns0:si>
  <ns0:si>
    <ns0:t>1. Enter budget amounts in the yellow cells on the three input tabs.</ns0:t>
  </ns0:si>
  <ns0:si>
    <ns0:t>2. Use the same period and currency for all figures. Enter costs as positive amounts.</ns0:t>
  </ns0:si>
  <ns0:si>
    <ns0:t>3. Return here to see the automatic summary. Blank amount cells count as zero.</ns0:t>
  </ns0:si>
  <ns0:si>
    <ns0:t>Each input tab has 20 lines. Rename the suggested categories to fit your business.</ns0:t>
  </ns0:si>
  <ns0:si>
    <ns0:t>Asset purchases are listed separately below for donor review; they are excluded from the profit calculation above.</ns0:t>
  </ns0:si>
  <ns0:si>
    <ns0:t>DONOR BUDGET SUMMARY</ns0:t>
  </ns0:si>
  <ns0:si>
    <ns0:t>Direct project costs</ns0:t>
  </ns0:si>
  <ns0:si>
    <ns0:t>Indirect and other expenses</ns0:t>
  </ns0:si>
  <ns0:si>
    <ns0:t>Less: depreciation (non-cash)</ns0:t>
  </ns0:si>
  <ns0:si>
    <ns0:t>Excludes the Depreciation line on Indirect Expenses to avoid double-counting asset costs.</ns0:t>
  </ns0:si>
  <ns0:si>
    <ns0:t>Operating budget excluding depreciation</ns0:t>
  </ns0:si>
  <ns0:si>
    <ns0:t>Asset purchases (CAPEX)</ns0:t>
  </ns0:si>
  <ns0:si>
    <ns0:t>Full purchase cost from Asset Purchases, including the stated quantities and unit costs.</ns0:t>
  </ns0:si>
  <ns0:si>
    <ns0:t>TOTAL PROJECT BUDGET</ns0:t>
  </ns0:si>
  <ns0:si>
    <ns0:t>Less: other confirmed funding</ns0:t>
  </ns0:si>
  <ns0:si>
    <ns0:t>Enter owner contributions, other grants and project revenue committed to this budget.</ns0:t>
  </ns0:si>
  <ns0:si>
    <ns0:t>FUNDING NEEDED FROM DONOR</ns0:t>
  </ns0:si>
  <ns0:si>
    <ns0:t>Total project budget less other confirmed funding, with a minimum of zero.</ns0:t>
  </ns0:si>
  <ns0:si>
    <ns0:t>Donor budget basis: planned costs for the stated project period; this is not a payment-timing cash forecast.</ns0:t>
  </ns0:si>
  <ns0:si>
    <ns0:t>Revenue is not automatically deducted as funding. Include only revenue committed to the project in other confirmed funding.</ns0:t>
  </ns0:si>
  <ns0:si>
    <ns0:t>Confirm donor eligibility of each cost, including interest and tax. Put depreciation only on the designated Depreciation line.</ns0:t>
  </ns0:si>
  <ns0:si>
    <ns0:t>Revenue</ns0:t>
  </ns0:si>
  <ns0:si>
    <ns0:t>Enter your expected revenue. Rename or add items in the yellow rows.</ns0:t>
  </ns0:si>
  <ns0:si>
    <ns0:t>Blank amounts count as zero. Notes can explain your estimate, e.g. 100 units × 5,000 IQD.</ns0:t>
  </ns0:si>
  <ns0:si>
    <ns0:t>Budget item</ns0:t>
  </ns0:si>
  <ns0:si>
    <ns0:t>Budget amount</ns0:t>
  </ns0:si>
  <ns0:si>
    <ns0:t>Notes / basis of estimate</ns0:t>
  </ns0:si>
  <ns0:si>
    <ns0:t>Product sales</ns0:t>
  </ns0:si>
  <ns0:si>
    <ns0:t>Expected sales of products.</ns0:t>
  </ns0:si>
  <ns0:si>
    <ns0:t>Service income</ns0:t>
  </ns0:si>
  <ns0:si>
    <ns0:t>Expected fees for your services.</ns0:t>
  </ns0:si>
  <ns0:si>
    <ns0:t>Other operating revenue</ns0:t>
  </ns0:si>
  <ns0:si>
    <ns0:t>Other income from normal business activities.</ns0:t>
  </ns0:si>
  <ns0:si>
    <ns0:t>Only yellow cells need input. The total above flows automatically to Summary.</ns0:t>
  </ns0:si>
  <ns0:si>
    <ns0:t>Direct Costs</ns0:t>
  </ns0:si>
  <ns0:si>
    <ns0:t>Enter positive budgeted costs. List each expense only once across the cost tabs.</ns0:t>
  </ns0:si>
  <ns0:si>
    <ns0:t>Materials / ingredients used</ns0:t>
  </ns0:si>
  <ns0:si>
    <ns0:t>Cost of materials used for the budgeted sales.</ns0:t>
  </ns0:si>
  <ns0:si>
    <ns0:t>Cost of the goods expected to be sold, not all stock purchases.</ns0:t>
  </ns0:si>
  <ns0:si>
    <ns0:t>Direct production labour</ns0:t>
  </ns0:si>
  <ns0:si>
    <ns0:t>Labour directly attributable to making products or delivering services.</ns0:t>
  </ns0:si>
  <ns0:si>
    <ns0:t>Packaging used for sales</ns0:t>
  </ns0:si>
  <ns0:si>
    <ns0:t>Packaging consumed for the budgeted sales.</ns0:t>
  </ns0:si>
  <ns0:si>
    <ns0:t>Other direct costs</ns0:t>
  </ns0:si>
  <ns0:si>
    <ns0:t>Other costs directly attributable to products or services.</ns0:t>
  </ns0:si>
  <ns0:si>
    <ns0:t>Total direct costs</ns0:t>
  </ns0:si>
  <ns0:si>
    <ns0:t>Indirect Expenses</ns0:t>
  </ns0:si>
  <ns0:si>
    <ns0:t>Rent</ns0:t>
  </ns0:si>
  <ns0:si>
    <ns0:t>Administrative salaries</ns0:t>
  </ns0:si>
  <ns0:si>
    <ns0:t>Support staff salaries; exclude labour already listed as direct costs.</ns0:t>
  </ns0:si>
  <ns0:si>
    <ns0:t>Electricity and water</ns0:t>
  </ns0:si>
  <ns0:si>
    <ns0:t>Utilities treated as overhead in this simple template.</ns0:t>
  </ns0:si>
  <ns0:si>
    <ns0:t>Marketing and advertising</ns0:t>
  </ns0:si>
  <ns0:si>
    <ns0:t>Promotion and advertising.</ns0:t>
  </ns0:si>
  <ns0:si>
    <ns0:t>Internet and telephone</ns0:t>
  </ns0:si>
  <ns0:si>
    <ns0:t>Business communications.</ns0:t>
  </ns0:si>
  <ns0:si>
    <ns0:t>Transport and delivery overhead</ns0:t>
  </ns0:si>
  <ns0:si>
    <ns0:t>Delivery or transport treated as overhead; do not double-count direct costs.</ns0:t>
  </ns0:si>
  <ns0:si>
    <ns0:t>Repairs and maintenance</ns0:t>
  </ns0:si>
  <ns0:si>
    <ns0:t>Routine repairs and upkeep.</ns0:t>
  </ns0:si>
  <ns0:si>
    <ns0:t>Insurance and licences</ns0:t>
  </ns0:si>
  <ns0:si>
    <ns0:t>Only the amount relating to this budget period.</ns0:t>
  </ns0:si>
  <ns0:si>
    <ns0:t>Office supplies</ns0:t>
  </ns0:si>
  <ns0:si>
    <ns0:t>Stationery and other office supplies.</ns0:t>
  </ns0:si>
  <ns0:si>
    <ns0:t>Depreciation</ns0:t>
  </ns0:si>
  <ns0:si>
    <ns0:t>The period’s depreciation expense, not the equipment purchase price.</ns0:t>
  </ns0:si>
  <ns0:si>
    <ns0:t>Other operating expenses</ns0:t>
  </ns0:si>
  <ns0:si>
    <ns0:t>Other overheads not already listed.</ns0:t>
  </ns0:si>
  <ns0:si>
    <ns0:t>Interest expense</ns0:t>
  </ns0:si>
  <ns0:si>
    <ns0:t>Interest only; exclude loan principal repayments.</ns0:t>
  </ns0:si>
  <ns0:si>
    <ns0:t>Income tax expense</ns0:t>
  </ns0:si>
  <ns0:si>
    <ns0:t>Enter an estimate if applicable; this workbook does not calculate tax.</ns0:t>
  </ns0:si>
  <ns0:si>
    <ns0:t>Total indirect expenses</ns0:t>
  </ns0:si>
  <ns0:si>
    <ns0:t>Interest and income tax are included here separately so the summary can show net profit.</ns0:t>
  </ns0:si>
  <ns0:si>
    <ns0:t>List the full purchase cost of equipment, furniture and other long-term assets needed for the project.</ns0:t>
  </ns0:si>
  <ns0:si>
    <ns0:t>Yellow cells are inputs. Explain why each asset is needed so the donor can review the request.</ns0:t>
  </ns0:si>
  <ns0:si>
    <ns0:t>Asset / equipment</ns0:t>
  </ns0:si>
  <ns0:si>
    <ns0:t>Quantity</ns0:t>
  </ns0:si>
  <ns0:si>
    <ns0:t>Unit cost</ns0:t>
  </ns0:si>
  <ns0:si>
    <ns0:t>Total purchase cost</ns0:t>
  </ns0:si>
  <ns0:si>
    <ns0:t>Purpose / justification</ns0:t>
  </ns0:si>
  <ns0:si>
    <ns0:t>Total asset purchases</ns0:t>
  </ns0:si>
  <ns0:si>
    <ns0:t>Examples: coffee machine, laptop, refrigerator, desks or production equipment.</ns0:t>
  </ns0:si>
  <ns0:si>
    <ns0:t>Include delivery and installation in unit cost when part of the asset’s purchase cost.</ns0:t>
  </ns0:si>
  <ns0:si>
    <ns0:t>Full asset cost goes to the donor budget. Only depreciation goes to the profit summary.</ns0:t>
  </ns0:si>
  <ns0:si>
    <ns0:t>State useful quantities and costs for this project only. Do not enter the same purchase under Direct Costs or Indirect Expenses.</ns0:t>
  </ns0:si>
  <ns0:si>
    <ns0:t xml:space="preserve">Sewing machine </ns0:t>
  </ns0:si>
  <ns0:si>
    <ns0:t xml:space="preserve">I need to expand my work, be able to produce more dresses </ns0:t>
  </ns0:si>
  <ns0:si>
    <ns0:t xml:space="preserve">Rent for 5 month </ns0:t>
  </ns0:si>
  <ns0:si>
    <ns0:t>Vip Dress</ns0:t>
  </ns0:si>
  <ns0:si>
    <ns0:t>Cheapify</ns0:t>
  </ns0:si>
  <ns0:si>
    <ns0:t>6-Month Pilot Launch (Nov 2026 - Apr 2027)</ns0:t>
  </ns0:si>
  <ns0:si>
    <ns0:t>IQD (1 USD ≈ 1,500 IQD)</ns0:t>
  </ns0:si>
  <ns0:si>
    <ns0:t>Software development built 100% in-house by Founder ($0 agency labor fee). Grant strictly funds operational runway.</ns0:t>
  </ns0:si>
  <ns0:si>
    <ns0:t>Catalog Transaction Fees (Tiered Take-Rate)</ns0:t>
  </ns0:si>
  <ns0:si>
    <ns0:t>Estimated 3,000 completed orders across budget period @ average 1,500 IQD platform take-rate (Tier 1: 5%, Tier 2: flat 1k IQD, Tier 3: 2%)</ns0:t>
  </ns0:si>
  <ns0:si>
    <ns0:t>Verified Merchant Category Sponsorships</ns0:t>
  </ns0:si>
  <ns0:si>
    <ns0:t>Featured verified store banners on high-traffic category headers for 5 partner shops @ 25,000 IQD/mo ($16.67/mo)</ns0:t>
  </ns0:si>
  <ns0:si>
    <ns0:t>Pilot 3PL Courier Test Subsidies</ns0:t>
  </ns0:si>
  <ns0:si>
    <ns0:t>90 subsidized test deliveries across Duhok with local couriers (ZMC Express @ 3,000 IQD / $2 per parcel) to validate speed &amp; COD reconciliation.</ns0:t>
  </ns0:si>
  <ns0:si>
    <ns0:t>Promotional First-Order Buyer Checkout Discounts</ns0:t>
  </ns0:si>
  <ns0:si>
    <ns0:t>90 introductory 2,000 IQD discount vouchers to convert hesitant shoppers into active buyers during launch campaigns.</ns0:t>
  </ns0:si>
  <ns0:si>
    <ns0:t>Merchant Starter Packaging Supplies</ns0:t>
  </ns0:si>
  <ns0:si>
    <ns0:t>Cheapify branded packaging tape rolls, document pouches, and fragile labels provided to pilot partner shops.</ns0:t>
  </ns0:si>
  <ns0:si>
    <ns0:t>Scalable Compute API Server (Hetzner / DO)</ns0:t>
  </ns0:si>
  <ns0:si>
    <ns0:t>Dedicated vCPU instance (8 vCPU, 16GB RAM) for high-concurrency Node.js API &amp; search workers (60,000 IQD / $40/mo).</ns0:t>
  </ns0:si>
  <ns0:si>
    <ns0:t>Managed PostgreSQL Database (Supabase / Managed DB)</ns0:t>
  </ns0:si>
  <ns0:si>
    <ns0:t>High-IOPS managed database with automated daily snapshots &amp; connection pooling (37,500 IQD / $25/mo).</ns0:t>
  </ns0:si>
  <ns0:si>
    <ns0:t>In-Memory Caching Cluster (Redis)</ns0:t>
  </ns0:si>
  <ns0:si>
    <ns0:t>Sub-5ms caching for real-time pricing and ranking lookups to protect DB under heavy traffic (22,500 IQD / $15/mo).</ns0:t>
  </ns0:si>
  <ns0:si>
    <ns0:t>Cloudflare Edge Security &amp; CDN (Pro Tier)</ns0:t>
  </ns0:si>
  <ns0:si>
    <ns0:t>Web Application Firewall (WAF), DDoS protection, auto-WebP compression &amp; Middle East edge caching (30,000 IQD / $20/mo).</ns0:t>
  </ns0:si>
  <ns0:si>
    <ns0:t>Cloudflare R2 Object Storage &amp; Domain</ns0:t>
  </ns0:si>
  <ns0:si>
    <ns0:t>R2 image storage (zero egress fees, 15,000 IQD / $10/mo) + wholesale .com domain via Cloudflare Registrar (15,000 IQD / $10).</ns0:t>
  </ns0:si>
  <ns0:si>
    <ns0:t>WhatsApp Business Cloud API (Meta)</ns0:t>
  </ns0:si>
  <ns0:si>
    <ns0:t>~5,000 automated service &amp; order confirmation conversations across period (~$0.020/conversation in Iraq).</ns0:t>
  </ns0:si>
  <ns0:si>
    <ns0:t>Dedicated Business SIM &amp; Maintenance Balance</ns0:t>
  </ns0:si>
  <ns0:si>
    <ns0:t>Dedicated commercial eSIM registration with local telecom (AsiaCell/Korek) + minimum recharge credit to keep line active.</ns0:t>
  </ns0:si>
  <ns0:si>
    <ns0:t>Hyper-Local Digital Marketing (Meta Ads Duhok)</ns0:t>
  </ns0:si>
  <ns0:si>
    <ns0:t>Geo-targeted Instagram/Facebook ads strictly in Duhok city (18-35 age bracket, 150,000 IQD / $100/mo). Generates ~350,000 local impressions.</ns0:t>
  </ns0:si>
  <ns0:si>
    <ns0:t>Content Creation &amp; Micro-Demos</ns0:t>
  </ns0:si>
  <ns0:si>
    <ns0:t>CREATED BY FOUNDER: Shakir creates all product UX teardowns, live video demonstrations &amp; Reels in-house ($0 outside influencer fees).</ns0:t>
  </ns0:si>
  <ns0:si>
    <ns0:t>Depreciation (Non-cash)</ns0:t>
  </ns0:si>
  <ns0:si>
    <ns0:t>No depreciable CAPEX assets claimed; all platform operations run asset-light.</ns0:t>
  </ns0:si>
  <ns0:si>
    <ns0:t>Commercial Trade Registration (Duhok DCCI)</ns0:t>
  </ns0:si>
  <ns0:si>
    <ns0:t>Trade name reservation filing, commercial registration, and membership fees with Duhok Chamber of Commerce &amp; Industry.</ns0:t>
  </ns0:si>
  <ns0:si>
    <ns0:t>Bilingual Legal Terms &amp; Vendor Contract Review</ns0:t>
  </ns0:si>
  <ns0:si>
    <ns0:t>Local KRI legal consultation for multi-seller terms of service, return policies, and dispute terms.</ns0:t>
  </ns0:si>
  <ns0:si>
    <ns0:t>Field Merchant Onboarding Travel (Duhok)</ns0:t>
  </ns0:si>
  <ns0:si>
    <ns0:t>CONDUCTED BY FOUNDER: Shakir visits Duhok markets (Bazaar, Malta, KRO) in-person during regular routine ($0 project charge).</ns0:t>
  </ns0:si>
  <ns0:si>
    <ns0:t>Internet &amp; Generator Power</ns0:t>
  </ns0:si>
  <ns0:si>
    <ns0:t>COVERED BY FOUNDER: Existing home and incubator facility utilities utilized ($0 donor bill).</ns0:t>
  </ns0:si>
  <ns0:si>
    <ns0:t>Operational Contingency &amp; Price Buffer</ns0:t>
  </ns0:si>
  <ns0:si>
    <ns0:t>Donor reserve for foreign exchange rate fluctuations and unexpected API traffic surges.</ns0:t>
  </ns0:si>
  <ns0:si>
    <ns0:t>Full-Stack Software Architecture &amp; Engineering</ns0:t>
  </ns0:si>
  <ns0:si>
    <ns0:t>DEVELOPED BY FOUNDER: Built 100% in-house by Shakir Bashar (Computer Engineer). Zero cash development cost to project.</ns0:t>
  </ns0:si>
  <ns0:si>
    <ns0:t/>
  </ns0:si>
</ns0:sst>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&quot;–&quot;"/>
    <numFmt numFmtId="165" formatCode="0.0%"/>
  </numFmts>
  <fonts count="8">
    <font>
      <sz val="11"/>
      <name val="Carlito"/>
    </font>
    <font>
      <sz val="11"/>
      <color rgb="FF222222"/>
      <name val="Arial"/>
    </font>
    <font>
      <b/>
      <sz val="16"/>
      <color rgb="FF203864"/>
      <name val="Arial"/>
    </font>
    <font>
      <sz val="11"/>
      <color rgb="FF0000FF"/>
      <name val="Arial"/>
    </font>
    <font>
      <b/>
      <sz val="11"/>
      <color rgb="FFFFFFFF"/>
      <name val="Arial"/>
    </font>
    <font>
      <i/>
      <sz val="11"/>
      <color rgb="FF222222"/>
      <name val="Arial"/>
    </font>
    <font>
      <b/>
      <sz val="11"/>
      <color rgb="FF222222"/>
      <name val="Arial"/>
    </font>
    <font>
      <sz val="11"/>
      <color rgb="FF008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203864"/>
      </patternFill>
    </fill>
    <fill>
      <patternFill patternType="solid">
        <fgColor rgb="FFE9EFF7"/>
      </patternFill>
    </fill>
    <fill>
      <patternFill patternType="solid">
        <fgColor rgb="FF203864"/>
      </patternFill>
    </fill>
    <fill>
      <patternFill patternType="solid">
        <fgColor rgb="FFFFF2CC"/>
      </patternFill>
    </fill>
    <fill>
      <patternFill patternType="solid">
        <fgColor rgb="FFE9EFF7"/>
      </patternFill>
    </fill>
  </fills>
  <borders count="2">
    <border>
      <left/>
      <right/>
      <top/>
      <bottom/>
      <diagonal/>
    </border>
    <border>
      <left/>
      <right/>
      <top style="thin">
        <color rgb="FF2038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vertical="center"/>
    </xf>
    <xf numFmtId="0" fontId="4" fillId="3" borderId="0" xfId="0" applyNumberFormat="1" applyFont="1" applyFill="1" applyBorder="1" applyAlignment="1">
      <alignment vertical="center"/>
    </xf>
    <xf numFmtId="164" fontId="1" fillId="0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vertical="center"/>
    </xf>
    <xf numFmtId="165" fontId="5" fillId="0" borderId="0" xfId="0" applyNumberFormat="1" applyFont="1" applyFill="1" applyBorder="1" applyAlignment="1">
      <alignment vertical="center"/>
    </xf>
    <xf numFmtId="0" fontId="6" fillId="4" borderId="1" xfId="0" applyNumberFormat="1" applyFont="1" applyFill="1" applyBorder="1" applyAlignment="1">
      <alignment vertical="center"/>
    </xf>
    <xf numFmtId="164" fontId="6" fillId="4" borderId="1" xfId="0" applyNumberFormat="1" applyFont="1" applyFill="1" applyBorder="1" applyAlignment="1">
      <alignment vertical="center"/>
    </xf>
    <xf numFmtId="0" fontId="7" fillId="0" borderId="0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0" fontId="4" fillId="5" borderId="0" xfId="0" applyNumberFormat="1" applyFont="1" applyFill="1" applyBorder="1" applyAlignment="1">
      <alignment vertical="center"/>
    </xf>
    <xf numFmtId="0" fontId="4" fillId="5" borderId="0" xfId="0" applyNumberFormat="1" applyFont="1" applyFill="1" applyBorder="1" applyAlignment="1">
      <alignment vertical="center" wrapText="1"/>
    </xf>
    <xf numFmtId="0" fontId="3" fillId="6" borderId="0" xfId="0" applyNumberFormat="1" applyFont="1" applyFill="1" applyBorder="1" applyAlignment="1">
      <alignment vertical="center"/>
    </xf>
    <xf numFmtId="164" fontId="3" fillId="6" borderId="0" xfId="0" applyNumberFormat="1" applyFont="1" applyFill="1" applyBorder="1" applyAlignment="1">
      <alignment vertical="center"/>
    </xf>
    <xf numFmtId="1" fontId="3" fillId="6" borderId="0" xfId="0" applyNumberFormat="1" applyFont="1" applyFill="1" applyBorder="1" applyAlignment="1">
      <alignment vertical="center"/>
    </xf>
    <xf numFmtId="0" fontId="6" fillId="7" borderId="0" xfId="0" applyNumberFormat="1" applyFont="1" applyFill="1" applyBorder="1" applyAlignment="1">
      <alignment vertical="center"/>
    </xf>
    <xf numFmtId="164" fontId="6" fillId="7" borderId="0" xfId="0" applyNumberFormat="1" applyFont="1" applyFill="1" applyBorder="1" applyAlignment="1">
      <alignment vertical="center"/>
    </xf>
    <xf numFmtId="0" fontId="6" fillId="7" borderId="1" xfId="0" applyNumberFormat="1" applyFont="1" applyFill="1" applyBorder="1" applyAlignment="1">
      <alignment vertical="center"/>
    </xf>
    <xf numFmtId="164" fontId="6" fillId="7" borderId="1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 wrapText="1"/>
    </xf>
    <xf numFmtId="0" fontId="6" fillId="7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1">
    <dxf>
      <font>
        <b/>
        <color rgb="FFC00000"/>
      </font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ns1:Ignorable="x14ac xr xr2 xr3" ns2:uid="{00000000-0001-0000-0000-000000000000}">
  <ns0:dimension ref="A1:D48"/>
  <ns0:sheetViews>
    <ns0:sheetView showGridLines="0" topLeftCell="A32" workbookViewId="0">
      <ns0:selection activeCell="B38" sqref="B38"/>
    </ns0:sheetView>
  </ns0:sheetViews>
  <ns0:sheetFormatPr defaultRowHeight="13.8"/>
  <ns0:cols>
    <ns0:col min="1" max="1" width="43" customWidth="1"/>
    <ns0:col min="2" max="2" width="23" customWidth="1"/>
    <ns0:col min="3" max="3" width="5" customWidth="1"/>
    <ns0:col min="4" max="4" width="72" customWidth="1"/>
  </ns0:cols>
  <ns0:sheetData>
    <ns0:row r="1" spans="1:4" ht="25.95" customHeight="1">
      <ns0:c r="A1" s="1"/>
      <ns0:c r="B1" s="1"/>
      <ns0:c r="C1" s="1"/>
      <ns0:c r="D1" s="1"/>
    </ns0:row>
    <ns0:row r="2" spans="1:4" ht="25.95" customHeight="1">
      <ns0:c r="A2" s="2" t="s">
        <ns0:v>0</ns0:v>
      </ns0:c>
      <ns0:c r="B2" s="1"/>
      <ns0:c r="C2" s="1"/>
      <ns0:c r="D2" s="1"/>
    </ns0:row>
    <ns0:row r="3" spans="1:4" ht="25.95" customHeight="1">
      <ns0:c r="A3" s="1"/>
      <ns0:c r="B3" s="1"/>
      <ns0:c r="C3" s="1"/>
      <ns0:c r="D3" s="1"/>
    </ns0:row>
    <ns0:row r="4" spans="1:4" ht="25.95" customHeight="1">
      <ns0:c r="A4" s="1" t="s">
        <ns0:v>1</ns0:v>
      </ns0:c>
      <ns0:c r="B4" s="3" t="s">
        <ns0:v>113</ns0:v>
      </ns0:c>
      <ns0:c r="C4" s="1"/>
      <ns0:c r="D4" s="1"/>
    </ns0:row>
    <ns0:row r="5" spans="1:4" ht="25.95" customHeight="1">
      <ns0:c r="A5" s="1" t="s">
        <ns0:v>2</ns0:v>
      </ns0:c>
      <ns0:c r="B5" s="3" t="s">
        <ns0:v>114</ns0:v>
      </ns0:c>
      <ns0:c r="C5" s="1"/>
      <ns0:c r="D5" s="1" t="s">
        <ns0:v>3</ns0:v>
      </ns0:c>
    </ns0:row>
    <ns0:row r="6" spans="1:4" ht="25.95" customHeight="1">
      <ns0:c r="A6" s="1" t="s">
        <ns0:v>4</ns0:v>
      </ns0:c>
      <ns0:c r="B6" s="3" t="s">
        <ns0:v>115</ns0:v>
      </ns0:c>
      <ns0:c r="C6" s="1"/>
      <ns0:c r="D6" s="1" t="s">
        <ns0:v>6</ns0:v>
      </ns0:c>
    </ns0:row>
    <ns0:row r="7" spans="1:4" ht="25.95" customHeight="1">
      <ns0:c r="A7" s="1"/>
      <ns0:c r="B7" s="1"/>
      <ns0:c r="C7" s="1"/>
      <ns0:c r="D7" s="1"/>
    </ns0:row>
    <ns0:row r="8" spans="1:4" ht="25.95" customHeight="1">
      <ns0:c r="A8" s="1" t="s">
        <ns0:v>7</ns0:v>
      </ns0:c>
      <ns0:c r="B8" s="1" t="str">
        <ns0:f>IF(COUNT(Revenue!B10:B29,'Direct Costs'!B10:B29,'Indirect Expenses'!B10:B29)=0,"Enter budget figures","Budget entered")</ns0:f>
        <ns0:v>Budget entered</ns0:v>
      </ns0:c>
      <ns0:c r="C8" s="1"/>
      <ns0:c r="D8" s="1"/>
    </ns0:row>
    <ns0:row r="9" spans="1:4" ht="25.95" customHeight="1">
      <ns0:c r="A9" s="1"/>
      <ns0:c r="B9" s="1"/>
      <ns0:c r="C9" s="1"/>
      <ns0:c r="D9" s="1"/>
    </ns0:row>
    <ns0:row r="10" spans="1:4" ht="30" customHeight="1">
      <ns0:c r="A10" s="4" t="s">
        <ns0:v>8</ns0:v>
      </ns0:c>
      <ns0:c r="B10" s="4" t="s">
        <ns0:v>9</ns0:v>
      </ns0:c>
      <ns0:c r="C10" s="1"/>
      <ns0:c r="D10" s="1"/>
    </ns0:row>
    <ns0:row r="11" spans="1:4" ht="25.95" customHeight="1">
      <ns0:c r="A11" s="1" t="s">
        <ns0:v>10</ns0:v>
      </ns0:c>
      <ns0:c r="B11" s="5">
        <ns0:f>Revenue!B31</ns0:f>
        <ns0:v>5250000</ns0:v>
      </ns0:c>
      <ns0:c r="C11" s="1"/>
      <ns0:c r="D11" s="1" t="s">
        <ns0:v>11</ns0:v>
      </ns0:c>
    </ns0:row>
    <ns0:row r="12" spans="1:4" ht="25.95" customHeight="1">
      <ns0:c r="A12" s="1" t="s">
        <ns0:v>12</ns0:v>
      </ns0:c>
      <ns0:c r="B12" s="5">
        <ns0:f>'Direct Costs'!B31</ns0:f>
        <ns0:v>600000</ns0:v>
      </ns0:c>
      <ns0:c r="C12" s="1"/>
      <ns0:c r="D12" s="1" t="s">
        <ns0:v>13</ns0:v>
      </ns0:c>
    </ns0:row>
    <ns0:row r="13" spans="1:4" ht="25.95" customHeight="1">
      <ns0:c r="A13" s="1"/>
      <ns0:c r="B13" s="5"/>
      <ns0:c r="C13" s="1"/>
      <ns0:c r="D13" s="1"/>
    </ns0:row>
    <ns0:row r="14" spans="1:4" ht="25.95" customHeight="1">
      <ns0:c r="A14" s="8" t="s">
        <ns0:v>14</ns0:v>
      </ns0:c>
      <ns0:c r="B14" s="9">
        <ns0:f>B11-B12</ns0:f>
        <ns0:v>4650000</ns0:v>
      </ns0:c>
      <ns0:c r="C14" s="1"/>
      <ns0:c r="D14" s="1" t="s">
        <ns0:v>15</ns0:v>
      </ns0:c>
    </ns0:row>
    <ns0:row r="15" spans="1:4" ht="25.95" customHeight="1">
      <ns0:c r="A15" s="1"/>
      <ns0:c r="B15" s="5"/>
      <ns0:c r="C15" s="1"/>
      <ns0:c r="D15" s="1"/>
    </ns0:row>
    <ns0:row r="16" spans="1:4" ht="25.95" customHeight="1">
      <ns0:c r="A16" s="1" t="s">
        <ns0:v>16</ns0:v>
      </ns0:c>
      <ns0:c r="B16" s="5">
        <ns0:f>'Indirect Expenses'!B31</ns0:f>
        <ns0:v>2700000</ns0:v>
      </ns0:c>
      <ns0:c r="C16" s="1"/>
      <ns0:c r="D16" s="1" t="s">
        <ns0:v>17</ns0:v>
      </ns0:c>
    </ns0:row>
    <ns0:row r="17" spans="1:4" ht="25.95" customHeight="1">
      <ns0:c r="A17" s="1"/>
      <ns0:c r="B17" s="5"/>
      <ns0:c r="C17" s="1"/>
      <ns0:c r="D17" s="1"/>
    </ns0:row>
    <ns0:row r="18" spans="1:4" ht="25.95" customHeight="1">
      <ns0:c r="A18" s="8" t="s">
        <ns0:v>18</ns0:v>
      </ns0:c>
      <ns0:c r="B18" s="9">
        <ns0:f>B14-B16</ns0:f>
        <ns0:v>1950000</ns0:v>
      </ns0:c>
      <ns0:c r="C18" s="1"/>
      <ns0:c r="D18" s="1" t="s">
        <ns0:v>19</ns0:v>
      </ns0:c>
    </ns0:row>
    <ns0:row r="19" spans="1:4" ht="25.95" customHeight="1">
      <ns0:c r="A19" s="1"/>
      <ns0:c r="B19" s="1"/>
      <ns0:c r="C19" s="1"/>
      <ns0:c r="D19" s="1"/>
    </ns0:row>
    <ns0:row r="20" spans="1:4" ht="25.95" customHeight="1">
      <ns0:c r="A20" s="6" t="s">
        <ns0:v>20</ns0:v>
      </ns0:c>
      <ns0:c r="B20" s="7">
        <ns0:f>IF(B11=0,"n.a.",B14/B11)</ns0:f>
        <ns0:v>0.8857</ns0:v>
      </ns0:c>
      <ns0:c r="C20" s="1"/>
      <ns0:c r="D20" s="1"/>
    </ns0:row>
    <ns0:row r="21" spans="1:4" ht="25.95" customHeight="1">
      <ns0:c r="A21" s="6" t="s">
        <ns0:v>21</ns0:v>
      </ns0:c>
      <ns0:c r="B21" s="7">
        <ns0:f>IF(B11=0,"n.a.",B18/B11)</ns0:f>
        <ns0:v>0.3714</ns0:v>
      </ns0:c>
      <ns0:c r="C21" s="1"/>
      <ns0:c r="D21" s="1"/>
    </ns0:row>
    <ns0:row r="22" spans="1:4" ht="25.95" customHeight="1">
      <ns0:c r="A22" s="1"/>
      <ns0:c r="B22" s="1"/>
      <ns0:c r="C22" s="1"/>
      <ns0:c r="D22" s="1"/>
    </ns0:row>
    <ns0:row r="23" spans="1:4" ht="25.95" customHeight="1">
      <ns0:c r="A23" s="1"/>
      <ns0:c r="B23" s="1"/>
      <ns0:c r="C23" s="1"/>
      <ns0:c r="D23" s="1"/>
    </ns0:row>
    <ns0:row r="24" spans="1:4" ht="25.95" customHeight="1">
      <ns0:c r="A24" s="1" t="s">
        <ns0:v>22</ns0:v>
      </ns0:c>
      <ns0:c r="B24" s="1"/>
      <ns0:c r="C24" s="1"/>
      <ns0:c r="D24" s="1"/>
    </ns0:row>
    <ns0:row r="25" spans="1:4" ht="25.95" customHeight="1">
      <ns0:c r="A25" s="1" t="s">
        <ns0:v>23</ns0:v>
      </ns0:c>
      <ns0:c r="B25" s="1"/>
      <ns0:c r="C25" s="1"/>
      <ns0:c r="D25" s="1"/>
    </ns0:row>
    <ns0:row r="26" spans="1:4" ht="25.95" customHeight="1">
      <ns0:c r="A26" s="1" t="s">
        <ns0:v>24</ns0:v>
      </ns0:c>
      <ns0:c r="B26" s="1"/>
      <ns0:c r="C26" s="1"/>
      <ns0:c r="D26" s="1"/>
    </ns0:row>
    <ns0:row r="27" spans="1:4" ht="25.95" customHeight="1">
      <ns0:c r="A27" s="1" t="s">
        <ns0:v>25</ns0:v>
      </ns0:c>
      <ns0:c r="B27" s="1"/>
      <ns0:c r="C27" s="1"/>
      <ns0:c r="D27" s="1"/>
    </ns0:row>
    <ns0:row r="28" spans="1:4" ht="25.95" customHeight="1">
      <ns0:c r="A28" s="1" t="s">
        <ns0:v>26</ns0:v>
      </ns0:c>
      <ns0:c r="B28" s="1"/>
      <ns0:c r="C28" s="1"/>
      <ns0:c r="D28" s="1"/>
    </ns0:row>
    <ns0:row r="29" spans="1:4" ht="25.95" customHeight="1">
      <ns0:c r="A29" s="1" t="s">
        <ns0:v>27</ns0:v>
      </ns0:c>
      <ns0:c r="B29" s="1"/>
      <ns0:c r="C29" s="1"/>
      <ns0:c r="D29" s="1"/>
    </ns0:row>
    <ns0:row r="31" spans="1:4" ht="27" customHeight="1">
      <ns0:c r="A31" s="13" t="s">
        <ns0:v>28</ns0:v>
      </ns0:c>
      <ns0:c r="B31" s="13"/>
      <ns0:c r="C31" s="1"/>
      <ns0:c r="D31" s="1"/>
    </ns0:row>
    <ns0:row r="32" spans="1:4" ht="27" customHeight="1">
      <ns0:c r="A32" s="1"/>
      <ns0:c r="B32" s="1"/>
      <ns0:c r="C32" s="1"/>
      <ns0:c r="D32" s="1"/>
    </ns0:row>
    <ns0:row r="33" spans="1:4" ht="27" customHeight="1">
      <ns0:c r="A33" s="1" t="s">
        <ns0:v>29</ns0:v>
      </ns0:c>
      <ns0:c r="B33" s="5">
        <ns0:f>B12</ns0:f>
        <ns0:v>600000</ns0:v>
      </ns0:c>
      <ns0:c r="C33" s="1"/>
      <ns0:c r="D33" s="1"/>
    </ns0:row>
    <ns0:row r="34" spans="1:4" ht="27" customHeight="1">
      <ns0:c r="A34" s="1" t="s">
        <ns0:v>30</ns0:v>
      </ns0:c>
      <ns0:c r="B34" s="5">
        <ns0:f>B16</ns0:f>
        <ns0:v>2700000</ns0:v>
      </ns0:c>
      <ns0:c r="C34" s="1"/>
      <ns0:c r="D34" s="1"/>
    </ns0:row>
    <ns0:row r="35" spans="1:4" ht="37.950000000000003" customHeight="1">
      <ns0:c r="A35" s="1" t="s">
        <ns0:v>31</ns0:v>
      </ns0:c>
      <ns0:c r="B35" s="5">
        <ns0:f>IF('Indirect Expenses'!B19="",0,'Indirect Expenses'!B19)</ns0:f>
        <ns0:v>0</ns0:v>
      </ns0:c>
      <ns0:c r="C35" s="1"/>
      <ns0:c r="D35" s="22" t="s">
        <ns0:v>32</ns0:v>
      </ns0:c>
    </ns0:row>
    <ns0:row r="36" spans="1:4" ht="37.950000000000003" customHeight="1">
      <ns0:c r="A36" s="23" t="s">
        <ns0:v>33</ns0:v>
      </ns0:c>
      <ns0:c r="B36" s="21">
        <ns0:f>B33+B34-B35</ns0:f>
        <ns0:v>3300000</ns0:v>
      </ns0:c>
      <ns0:c r="C36" s="1"/>
      <ns0:c r="D36" s="1"/>
    </ns0:row>
    <ns0:row r="37" spans="1:4" ht="27" customHeight="1">
      <ns0:c r="A37" s="1"/>
      <ns0:c r="B37" s="5"/>
      <ns0:c r="C37" s="1"/>
      <ns0:c r="D37" s="1"/>
    </ns0:row>
    <ns0:row r="38" spans="1:4" ht="37.950000000000003" customHeight="1">
      <ns0:c r="A38" s="1" t="s">
        <ns0:v>34</ns0:v>
      </ns0:c>
      <ns0:c r="B38" s="5">
        <ns0:f>'Asset Purchases'!D27</ns0:f>
        <ns0:v>0</ns0:v>
      </ns0:c>
      <ns0:c r="C38" s="1"/>
      <ns0:c r="D38" s="22" t="s">
        <ns0:v>35</ns0:v>
      </ns0:c>
    </ns0:row>
    <ns0:row r="39" spans="1:4" ht="27" customHeight="1">
      <ns0:c r="A39" s="1"/>
      <ns0:c r="B39" s="5"/>
      <ns0:c r="C39" s="1"/>
      <ns0:c r="D39" s="1"/>
    </ns0:row>
    <ns0:row r="40" spans="1:4" ht="27" customHeight="1">
      <ns0:c r="A40" s="20" t="s">
        <ns0:v>36</ns0:v>
      </ns0:c>
      <ns0:c r="B40" s="21">
        <ns0:f>IF(ISNUMBER(B38),SUM(B36,B38),"Complete asset rows")</ns0:f>
        <ns0:v>3300000</ns0:v>
      </ns0:c>
      <ns0:c r="C40" s="1"/>
      <ns0:c r="D40" s="1"/>
    </ns0:row>
    <ns0:row r="41" spans="1:4" ht="27" customHeight="1">
      <ns0:c r="A41" s="1"/>
      <ns0:c r="B41" s="5"/>
      <ns0:c r="C41" s="1"/>
      <ns0:c r="D41" s="1"/>
    </ns0:row>
    <ns0:row r="42" spans="1:4" ht="37.950000000000003" customHeight="1">
      <ns0:c r="A42" s="1" t="s">
        <ns0:v>37</ns0:v>
      </ns0:c>
      <ns0:c r="B42" s="16"/>
      <ns0:c r="C42" s="1"/>
      <ns0:c r="D42" s="22" t="s">
        <ns0:v>116</ns0:v>
      </ns0:c>
    </ns0:row>
    <ns0:row r="43" spans="1:4" ht="27" customHeight="1">
      <ns0:c r="A43" s="1"/>
      <ns0:c r="B43" s="5"/>
      <ns0:c r="C43" s="1"/>
      <ns0:c r="D43" s="1"/>
    </ns0:row>
    <ns0:row r="44" spans="1:4" ht="37.950000000000003" customHeight="1">
      <ns0:c r="A44" s="20" t="s">
        <ns0:v>39</ns0:v>
      </ns0:c>
      <ns0:c r="B44" s="21">
        <ns0:f>IF(ISNUMBER(B40),MAX(0,B40-B42),"Complete asset rows")</ns0:f>
        <ns0:v>3300000</ns0:v>
      </ns0:c>
      <ns0:c r="C44" s="1"/>
      <ns0:c r="D44" s="22" t="s">
        <ns0:v>40</ns0:v>
      </ns0:c>
    </ns0:row>
    <ns0:row r="45" spans="1:4" ht="27" customHeight="1">
      <ns0:c r="A45" s="1"/>
      <ns0:c r="B45" s="1"/>
      <ns0:c r="C45" s="1"/>
      <ns0:c r="D45" s="1"/>
    </ns0:row>
    <ns0:row r="46" spans="1:4" ht="27" customHeight="1">
      <ns0:c r="A46" s="1" t="s">
        <ns0:v>41</ns0:v>
      </ns0:c>
      <ns0:c r="B46" s="1"/>
      <ns0:c r="C46" s="1"/>
      <ns0:c r="D46" s="1"/>
    </ns0:row>
    <ns0:row r="47" spans="1:4" ht="27" customHeight="1">
      <ns0:c r="A47" s="1" t="s">
        <ns0:v>42</ns0:v>
      </ns0:c>
      <ns0:c r="B47" s="1"/>
      <ns0:c r="C47" s="1"/>
      <ns0:c r="D47" s="1"/>
    </ns0:row>
    <ns0:row r="48" spans="1:4" ht="27" customHeight="1">
      <ns0:c r="A48" s="1" t="s">
        <ns0:v>43</ns0:v>
      </ns0:c>
      <ns0:c r="B48" s="1"/>
      <ns0:c r="C48" s="1"/>
      <ns0:c r="D48" s="1"/>
    </ns0:row>
  </ns0:sheetData>
  <ns0:conditionalFormatting sqref="B18">
    <ns0:cfRule type="cellIs" dxfId="0" priority="1" operator="lessThan">
      <ns0:formula>0</ns0:formula>
    </ns0:cfRule>
  </ns0:conditionalFormatting>
  <ns0:dataValidations count="1">
    <ns0:dataValidation type="decimal" operator="greaterThanOrEqual" sqref="B42" ns2:uid="{00000000-0002-0000-0000-000000000000}">
      <ns0:formula1>0</ns0:formula1>
    </ns0:dataValidation>
  </ns0:dataValidation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 xmlns:ns1="http://schemas.openxmlformats.org/markup-compatibility/2006" xmlns:ns2="http://schemas.microsoft.com/office/spreadsheetml/2014/revision" ns1:Ignorable="x14ac xr xr2 xr3" ns2:uid="{00000000-0001-0000-0100-000000000000}">
  <ns0:dimension ref="A1:D34"/>
  <ns0:sheetViews>
    <ns0:sheetView showGridLines="0" topLeftCell="A4" workbookViewId="0">
      <ns0:selection activeCell="B11" sqref="B11"/>
    </ns0:sheetView>
  </ns0:sheetViews>
  <ns0:sheetFormatPr defaultRowHeight="13.8"/>
  <ns0:cols>
    <ns0:col min="1" max="1" width="43" customWidth="1"/>
    <ns0:col min="2" max="2" width="23" customWidth="1"/>
    <ns0:col min="3" max="3" width="5" customWidth="1"/>
    <ns0:col min="4" max="4" width="72" customWidth="1"/>
  </ns0:cols>
  <ns0:sheetData>
    <ns0:row r="1" spans="1:4" ht="25.95" customHeight="1">
      <ns0:c r="A1" s="1"/>
      <ns0:c r="B1" s="1"/>
      <ns0:c r="C1" s="1"/>
      <ns0:c r="D1" s="1"/>
    </ns0:row>
    <ns0:row r="2" spans="1:4" ht="25.95" customHeight="1">
      <ns0:c r="A2" s="2" t="s">
        <ns0:v>44</ns0:v>
      </ns0:c>
      <ns0:c r="B2" s="1"/>
      <ns0:c r="C2" s="1"/>
      <ns0:c r="D2" s="1"/>
    </ns0:row>
    <ns0:row r="3" spans="1:4" ht="25.95" customHeight="1">
      <ns0:c r="A3" s="1"/>
      <ns0:c r="B3" s="1"/>
      <ns0:c r="C3" s="1"/>
      <ns0:c r="D3" s="1"/>
    </ns0:row>
    <ns0:row r="4" spans="1:4" ht="25.95" customHeight="1">
      <ns0:c r="A4" s="1" t="s">
        <ns0:v>2</ns0:v>
      </ns0:c>
      <ns0:c r="B4" s="10" t="str">
        <ns0:f>IF(Summary!B5="","Enter on Summary",Summary!B5)</ns0:f>
        <ns0:v>Enter on Summary</ns0:v>
      </ns0:c>
      <ns0:c r="C4" s="1"/>
      <ns0:c r="D4" s="1"/>
    </ns0:row>
    <ns0:row r="5" spans="1:4" ht="25.95" customHeight="1">
      <ns0:c r="A5" s="1" t="s">
        <ns0:v>4</ns0:v>
      </ns0:c>
      <ns0:c r="B5" s="10" t="str">
        <ns0:f>Summary!B6</ns0:f>
        <ns0:v>IQD</ns0:v>
      </ns0:c>
      <ns0:c r="C5" s="1"/>
      <ns0:c r="D5" s="1"/>
    </ns0:row>
    <ns0:row r="6" spans="1:4" ht="25.95" customHeight="1">
      <ns0:c r="A6" s="1"/>
      <ns0:c r="B6" s="1"/>
      <ns0:c r="C6" s="1"/>
      <ns0:c r="D6" s="1"/>
    </ns0:row>
    <ns0:row r="7" spans="1:4" ht="25.95" customHeight="1">
      <ns0:c r="A7" s="1" t="s">
        <ns0:v>45</ns0:v>
      </ns0:c>
      <ns0:c r="B7" s="1"/>
      <ns0:c r="C7" s="1"/>
      <ns0:c r="D7" s="1"/>
    </ns0:row>
    <ns0:row r="8" spans="1:4" ht="25.95" customHeight="1">
      <ns0:c r="A8" s="1" t="s">
        <ns0:v>46</ns0:v>
      </ns0:c>
      <ns0:c r="B8" s="1"/>
      <ns0:c r="C8" s="1"/>
      <ns0:c r="D8" s="1"/>
    </ns0:row>
    <ns0:row r="9" spans="1:4" ht="30" customHeight="1">
      <ns0:c r="A9" s="4" t="s">
        <ns0:v>47</ns0:v>
      </ns0:c>
      <ns0:c r="B9" s="4" t="s">
        <ns0:v>48</ns0:v>
      </ns0:c>
      <ns0:c r="C9" s="1"/>
      <ns0:c r="D9" s="11" t="s">
        <ns0:v>49</ns0:v>
      </ns0:c>
    </ns0:row>
    <ns0:row r="10" spans="1:4" ht="25.95" customHeight="1">
      <ns0:c r="A10" s="3" t="s">
        <ns0:v>117</ns0:v>
      </ns0:c>
      <ns0:c r="B10" s="12">
        <ns0:v>4500000</ns0:v>
      </ns0:c>
      <ns0:c r="C10" s="1"/>
      <ns0:c r="D10" s="3" t="s">
        <ns0:v>118</ns0:v>
      </ns0:c>
    </ns0:row>
    <ns0:row r="11" spans="1:4" ht="25.95" customHeight="1">
      <ns0:c r="A11" s="3" t="s">
        <ns0:v>119</ns0:v>
      </ns0:c>
      <ns0:c r="B11" s="12">
        <ns0:v>750000</ns0:v>
      </ns0:c>
      <ns0:c r="C11" s="1"/>
      <ns0:c r="D11" s="3" t="s">
        <ns0:v>120</ns0:v>
      </ns0:c>
    </ns0:row>
    <ns0:row r="12" spans="1:4" ht="25.95" customHeight="1">
      <ns0:c r="A12" s="3" t="s">
        <ns0:v>54</ns0:v>
      </ns0:c>
      <ns0:c r="B12" s="12"/>
      <ns0:c r="C12" s="1"/>
      <ns0:c r="D12" s="3" t="s">
        <ns0:v>55</ns0:v>
      </ns0:c>
    </ns0:row>
    <ns0:row r="13" spans="1:4" ht="25.95" customHeight="1">
      <ns0:c r="A13" s="3"/>
      <ns0:c r="B13" s="12"/>
      <ns0:c r="C13" s="1"/>
      <ns0:c r="D13" s="3"/>
    </ns0:row>
    <ns0:row r="14" spans="1:4" ht="25.95" customHeight="1">
      <ns0:c r="A14" s="3"/>
      <ns0:c r="B14" s="12"/>
      <ns0:c r="C14" s="1"/>
      <ns0:c r="D14" s="3"/>
    </ns0:row>
    <ns0:row r="15" spans="1:4" ht="25.95" customHeight="1">
      <ns0:c r="A15" s="3"/>
      <ns0:c r="B15" s="12"/>
      <ns0:c r="C15" s="1"/>
      <ns0:c r="D15" s="3"/>
    </ns0:row>
    <ns0:row r="16" spans="1:4" ht="25.95" customHeight="1">
      <ns0:c r="A16" s="3"/>
      <ns0:c r="B16" s="12"/>
      <ns0:c r="C16" s="1"/>
      <ns0:c r="D16" s="3"/>
    </ns0:row>
    <ns0:row r="17" spans="1:4" ht="25.95" customHeight="1">
      <ns0:c r="A17" s="3"/>
      <ns0:c r="B17" s="12"/>
      <ns0:c r="C17" s="1"/>
      <ns0:c r="D17" s="3"/>
    </ns0:row>
    <ns0:row r="18" spans="1:4" ht="25.95" customHeight="1">
      <ns0:c r="A18" s="3"/>
      <ns0:c r="B18" s="12"/>
      <ns0:c r="C18" s="1"/>
      <ns0:c r="D18" s="3"/>
    </ns0:row>
    <ns0:row r="19" spans="1:4" ht="25.95" customHeight="1">
      <ns0:c r="A19" s="3"/>
      <ns0:c r="B19" s="12"/>
      <ns0:c r="C19" s="1"/>
      <ns0:c r="D19" s="3"/>
    </ns0:row>
    <ns0:row r="20" spans="1:4" ht="25.95" customHeight="1">
      <ns0:c r="A20" s="3"/>
      <ns0:c r="B20" s="12"/>
      <ns0:c r="C20" s="1"/>
      <ns0:c r="D20" s="3"/>
    </ns0:row>
    <ns0:row r="21" spans="1:4" ht="25.95" customHeight="1">
      <ns0:c r="A21" s="3"/>
      <ns0:c r="B21" s="12"/>
      <ns0:c r="C21" s="1"/>
      <ns0:c r="D21" s="3"/>
    </ns0:row>
    <ns0:row r="22" spans="1:4" ht="25.95" customHeight="1">
      <ns0:c r="A22" s="3"/>
      <ns0:c r="B22" s="12"/>
      <ns0:c r="C22" s="1"/>
      <ns0:c r="D22" s="3"/>
    </ns0:row>
    <ns0:row r="23" spans="1:4" ht="25.95" customHeight="1">
      <ns0:c r="A23" s="3"/>
      <ns0:c r="B23" s="12"/>
      <ns0:c r="C23" s="1"/>
      <ns0:c r="D23" s="3"/>
    </ns0:row>
    <ns0:row r="24" spans="1:4" ht="25.95" customHeight="1">
      <ns0:c r="A24" s="3"/>
      <ns0:c r="B24" s="12"/>
      <ns0:c r="C24" s="1"/>
      <ns0:c r="D24" s="3"/>
    </ns0:row>
    <ns0:row r="25" spans="1:4" ht="25.95" customHeight="1">
      <ns0:c r="A25" s="3"/>
      <ns0:c r="B25" s="12"/>
      <ns0:c r="C25" s="1"/>
      <ns0:c r="D25" s="3"/>
    </ns0:row>
    <ns0:row r="26" spans="1:4" ht="25.95" customHeight="1">
      <ns0:c r="A26" s="3"/>
      <ns0:c r="B26" s="12"/>
      <ns0:c r="C26" s="1"/>
      <ns0:c r="D26" s="3"/>
    </ns0:row>
    <ns0:row r="27" spans="1:4" ht="25.95" customHeight="1">
      <ns0:c r="A27" s="3"/>
      <ns0:c r="B27" s="12"/>
      <ns0:c r="C27" s="1"/>
      <ns0:c r="D27" s="3"/>
    </ns0:row>
    <ns0:row r="28" spans="1:4" ht="25.95" customHeight="1">
      <ns0:c r="A28" s="3"/>
      <ns0:c r="B28" s="12"/>
      <ns0:c r="C28" s="1"/>
      <ns0:c r="D28" s="3"/>
    </ns0:row>
    <ns0:row r="29" spans="1:4" ht="25.95" customHeight="1">
      <ns0:c r="A29" s="3"/>
      <ns0:c r="B29" s="12"/>
      <ns0:c r="C29" s="1"/>
      <ns0:c r="D29" s="3"/>
    </ns0:row>
    <ns0:row r="30" spans="1:4" ht="25.95" customHeight="1">
      <ns0:c r="A30" s="1"/>
      <ns0:c r="B30" s="5"/>
      <ns0:c r="C30" s="1"/>
      <ns0:c r="D30" s="1"/>
    </ns0:row>
    <ns0:row r="31" spans="1:4" ht="25.95" customHeight="1">
      <ns0:c r="A31" s="8" t="s">
        <ns0:v>10</ns0:v>
      </ns0:c>
      <ns0:c r="B31" s="9">
        <ns0:f>SUM(B10:B29)</ns0:f>
        <ns0:v>5250000</ns0:v>
      </ns0:c>
      <ns0:c r="C31" s="1"/>
      <ns0:c r="D31" s="1"/>
    </ns0:row>
    <ns0:row r="32" spans="1:4" ht="25.95" customHeight="1">
      <ns0:c r="A32" s="1"/>
      <ns0:c r="B32" s="1"/>
      <ns0:c r="C32" s="1"/>
      <ns0:c r="D32" s="1"/>
    </ns0:row>
    <ns0:row r="33" spans="1:4" ht="25.95" customHeight="1">
      <ns0:c r="A33" s="1" t="s">
        <ns0:v>56</ns0:v>
      </ns0:c>
      <ns0:c r="B33" s="1"/>
      <ns0:c r="C33" s="1"/>
      <ns0:c r="D33" s="1"/>
    </ns0:row>
    <ns0:row r="34" spans="1:4" ht="25.95" customHeight="1">
      <ns0:c r="A34" s="1"/>
      <ns0:c r="B34" s="1"/>
      <ns0:c r="C34" s="1"/>
      <ns0:c r="D34" s="1"/>
    </ns0:row>
  </ns0:sheetData>
  <ns0:dataValidations count="1">
    <ns0:dataValidation type="decimal" operator="greaterThanOrEqual" sqref="B10:B29" ns2:uid="{00000000-0002-0000-0100-000000000000}">
      <ns0:formula1>0</ns0:formula1>
    </ns0:dataValidation>
  </ns0:dataValidation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 xmlns:ns1="http://schemas.openxmlformats.org/markup-compatibility/2006" xmlns:ns2="http://schemas.microsoft.com/office/spreadsheetml/2014/revision" ns1:Ignorable="x14ac xr xr2 xr3" ns2:uid="{00000000-0001-0000-0200-000000000000}">
  <ns0:dimension ref="A1:D34"/>
  <ns0:sheetViews>
    <ns0:sheetView showGridLines="0" tabSelected="1" topLeftCell="A4" workbookViewId="0">
      <ns0:selection activeCell="B15" sqref="B15"/>
    </ns0:sheetView>
  </ns0:sheetViews>
  <ns0:sheetFormatPr defaultRowHeight="13.8"/>
  <ns0:cols>
    <ns0:col min="1" max="1" width="43" customWidth="1"/>
    <ns0:col min="2" max="2" width="23" customWidth="1"/>
    <ns0:col min="3" max="3" width="5" customWidth="1"/>
    <ns0:col min="4" max="4" width="72" customWidth="1"/>
  </ns0:cols>
  <ns0:sheetData>
    <ns0:row r="1" spans="1:4" ht="25.95" customHeight="1">
      <ns0:c r="A1" s="1"/>
      <ns0:c r="B1" s="1"/>
      <ns0:c r="C1" s="1"/>
      <ns0:c r="D1" s="1"/>
    </ns0:row>
    <ns0:row r="2" spans="1:4" ht="25.95" customHeight="1">
      <ns0:c r="A2" s="2" t="s">
        <ns0:v>57</ns0:v>
      </ns0:c>
      <ns0:c r="B2" s="1"/>
      <ns0:c r="C2" s="1"/>
      <ns0:c r="D2" s="1"/>
    </ns0:row>
    <ns0:row r="3" spans="1:4" ht="25.95" customHeight="1">
      <ns0:c r="A3" s="1"/>
      <ns0:c r="B3" s="1"/>
      <ns0:c r="C3" s="1"/>
      <ns0:c r="D3" s="1"/>
    </ns0:row>
    <ns0:row r="4" spans="1:4" ht="25.95" customHeight="1">
      <ns0:c r="A4" s="1" t="s">
        <ns0:v>2</ns0:v>
      </ns0:c>
      <ns0:c r="B4" s="10" t="str">
        <ns0:f>IF(Summary!B5="","Enter on Summary",Summary!B5)</ns0:f>
        <ns0:v>Enter on Summary</ns0:v>
      </ns0:c>
      <ns0:c r="C4" s="1"/>
      <ns0:c r="D4" s="1"/>
    </ns0:row>
    <ns0:row r="5" spans="1:4" ht="25.95" customHeight="1">
      <ns0:c r="A5" s="1" t="s">
        <ns0:v>4</ns0:v>
      </ns0:c>
      <ns0:c r="B5" s="10" t="str">
        <ns0:f>Summary!B6</ns0:f>
        <ns0:v>IQD</ns0:v>
      </ns0:c>
      <ns0:c r="C5" s="1"/>
      <ns0:c r="D5" s="1"/>
    </ns0:row>
    <ns0:row r="6" spans="1:4" ht="25.95" customHeight="1">
      <ns0:c r="A6" s="1"/>
      <ns0:c r="B6" s="1"/>
      <ns0:c r="C6" s="1"/>
      <ns0:c r="D6" s="1"/>
    </ns0:row>
    <ns0:row r="7" spans="1:4" ht="25.95" customHeight="1">
      <ns0:c r="A7" s="1" t="s">
        <ns0:v>58</ns0:v>
      </ns0:c>
      <ns0:c r="B7" s="1"/>
      <ns0:c r="C7" s="1"/>
      <ns0:c r="D7" s="1"/>
    </ns0:row>
    <ns0:row r="8" spans="1:4" ht="25.95" customHeight="1">
      <ns0:c r="A8" s="1" t="s">
        <ns0:v>46</ns0:v>
      </ns0:c>
      <ns0:c r="B8" s="1"/>
      <ns0:c r="C8" s="1"/>
      <ns0:c r="D8" s="1"/>
    </ns0:row>
    <ns0:row r="9" spans="1:4" ht="30" customHeight="1">
      <ns0:c r="A9" s="4" t="s">
        <ns0:v>47</ns0:v>
      </ns0:c>
      <ns0:c r="B9" s="4" t="s">
        <ns0:v>48</ns0:v>
      </ns0:c>
      <ns0:c r="C9" s="1"/>
      <ns0:c r="D9" s="11" t="s">
        <ns0:v>49</ns0:v>
      </ns0:c>
    </ns0:row>
    <ns0:row r="10" spans="1:4" ht="25.95" customHeight="1">
      <ns0:c r="A10" s="3" t="s">
        <ns0:v>121</ns0:v>
      </ns0:c>
      <ns0:c r="B10" s="12">
        <ns0:v>270000</ns0:v>
      </ns0:c>
      <ns0:c r="C10" s="1"/>
      <ns0:c r="D10" s="3" t="s">
        <ns0:v>122</ns0:v>
      </ns0:c>
    </ns0:row>
    <ns0:row r="11" spans="1:4" ht="25.95" customHeight="1">
      <ns0:c r="A11" s="3" t="s">
        <ns0:v>123</ns0:v>
      </ns0:c>
      <ns0:c r="B11" s="12">
        <ns0:v>180000</ns0:v>
      </ns0:c>
      <ns0:c r="C11" s="1"/>
      <ns0:c r="D11" s="3" t="s">
        <ns0:v>124</ns0:v>
      </ns0:c>
    </ns0:row>
    <ns0:row r="12" spans="1:4" ht="25.95" customHeight="1">
      <ns0:c r="A12" s="3" t="s">
        <ns0:v>125</ns0:v>
      </ns0:c>
      <ns0:c r="B12" s="12">
        <ns0:v>150000</ns0:v>
      </ns0:c>
      <ns0:c r="C12" s="1"/>
      <ns0:c r="D12" s="3" t="s">
        <ns0:v>126</ns0:v>
      </ns0:c>
    </ns0:row>
    <ns0:row r="13" spans="1:4" ht="25.95" customHeight="1">
      <ns0:c r="A13" s="3" t="s">
        <ns0:v>64</ns0:v>
      </ns0:c>
      <ns0:c r="B13" s="12"/>
      <ns0:c r="C13" s="1"/>
      <ns0:c r="D13" s="3" t="s">
        <ns0:v>65</ns0:v>
      </ns0:c>
    </ns0:row>
    <ns0:row r="14" spans="1:4" ht="25.95" customHeight="1">
      <ns0:c r="A14" s="3" t="s">
        <ns0:v>66</ns0:v>
      </ns0:c>
      <ns0:c r="B14" s="12"/>
      <ns0:c r="C14" s="1"/>
      <ns0:c r="D14" s="3" t="s">
        <ns0:v>67</ns0:v>
      </ns0:c>
    </ns0:row>
    <ns0:row r="15" spans="1:4" ht="25.95" customHeight="1">
      <ns0:c r="A15" s="3"/>
      <ns0:c r="B15" s="12"/>
      <ns0:c r="C15" s="1"/>
      <ns0:c r="D15" s="3"/>
    </ns0:row>
    <ns0:row r="16" spans="1:4" ht="25.95" customHeight="1">
      <ns0:c r="A16" s="3"/>
      <ns0:c r="B16" s="12"/>
      <ns0:c r="C16" s="1"/>
      <ns0:c r="D16" s="3"/>
    </ns0:row>
    <ns0:row r="17" spans="1:4" ht="25.95" customHeight="1">
      <ns0:c r="A17" s="3"/>
      <ns0:c r="B17" s="12"/>
      <ns0:c r="C17" s="1"/>
      <ns0:c r="D17" s="3"/>
    </ns0:row>
    <ns0:row r="18" spans="1:4" ht="25.95" customHeight="1">
      <ns0:c r="A18" s="3"/>
      <ns0:c r="B18" s="12"/>
      <ns0:c r="C18" s="1"/>
      <ns0:c r="D18" s="3"/>
    </ns0:row>
    <ns0:row r="19" spans="1:4" ht="25.95" customHeight="1">
      <ns0:c r="A19" s="3"/>
      <ns0:c r="B19" s="12"/>
      <ns0:c r="C19" s="1"/>
      <ns0:c r="D19" s="3"/>
    </ns0:row>
    <ns0:row r="20" spans="1:4" ht="25.95" customHeight="1">
      <ns0:c r="A20" s="3"/>
      <ns0:c r="B20" s="12"/>
      <ns0:c r="C20" s="1"/>
      <ns0:c r="D20" s="3"/>
    </ns0:row>
    <ns0:row r="21" spans="1:4" ht="25.95" customHeight="1">
      <ns0:c r="A21" s="3"/>
      <ns0:c r="B21" s="12"/>
      <ns0:c r="C21" s="1"/>
      <ns0:c r="D21" s="3"/>
    </ns0:row>
    <ns0:row r="22" spans="1:4" ht="25.95" customHeight="1">
      <ns0:c r="A22" s="3"/>
      <ns0:c r="B22" s="12"/>
      <ns0:c r="C22" s="1"/>
      <ns0:c r="D22" s="3"/>
    </ns0:row>
    <ns0:row r="23" spans="1:4" ht="25.95" customHeight="1">
      <ns0:c r="A23" s="3"/>
      <ns0:c r="B23" s="12"/>
      <ns0:c r="C23" s="1"/>
      <ns0:c r="D23" s="3"/>
    </ns0:row>
    <ns0:row r="24" spans="1:4" ht="25.95" customHeight="1">
      <ns0:c r="A24" s="3"/>
      <ns0:c r="B24" s="12"/>
      <ns0:c r="C24" s="1"/>
      <ns0:c r="D24" s="3"/>
    </ns0:row>
    <ns0:row r="25" spans="1:4" ht="25.95" customHeight="1">
      <ns0:c r="A25" s="3"/>
      <ns0:c r="B25" s="12"/>
      <ns0:c r="C25" s="1"/>
      <ns0:c r="D25" s="3"/>
    </ns0:row>
    <ns0:row r="26" spans="1:4" ht="25.95" customHeight="1">
      <ns0:c r="A26" s="3"/>
      <ns0:c r="B26" s="12"/>
      <ns0:c r="C26" s="1"/>
      <ns0:c r="D26" s="3"/>
    </ns0:row>
    <ns0:row r="27" spans="1:4" ht="25.95" customHeight="1">
      <ns0:c r="A27" s="3"/>
      <ns0:c r="B27" s="12"/>
      <ns0:c r="C27" s="1"/>
      <ns0:c r="D27" s="3"/>
    </ns0:row>
    <ns0:row r="28" spans="1:4" ht="25.95" customHeight="1">
      <ns0:c r="A28" s="3"/>
      <ns0:c r="B28" s="12"/>
      <ns0:c r="C28" s="1"/>
      <ns0:c r="D28" s="3"/>
    </ns0:row>
    <ns0:row r="29" spans="1:4" ht="25.95" customHeight="1">
      <ns0:c r="A29" s="3"/>
      <ns0:c r="B29" s="12"/>
      <ns0:c r="C29" s="1"/>
      <ns0:c r="D29" s="3"/>
    </ns0:row>
    <ns0:row r="30" spans="1:4" ht="25.95" customHeight="1">
      <ns0:c r="A30" s="1"/>
      <ns0:c r="B30" s="5"/>
      <ns0:c r="C30" s="1"/>
      <ns0:c r="D30" s="1"/>
    </ns0:row>
    <ns0:row r="31" spans="1:4" ht="25.95" customHeight="1">
      <ns0:c r="A31" s="8" t="s">
        <ns0:v>68</ns0:v>
      </ns0:c>
      <ns0:c r="B31" s="9">
        <ns0:f>SUM(B10:B29)</ns0:f>
        <ns0:v>600000</ns0:v>
      </ns0:c>
      <ns0:c r="C31" s="1"/>
      <ns0:c r="D31" s="1"/>
    </ns0:row>
    <ns0:row r="32" spans="1:4" ht="25.95" customHeight="1">
      <ns0:c r="A32" s="1"/>
      <ns0:c r="B32" s="1"/>
      <ns0:c r="C32" s="1"/>
      <ns0:c r="D32" s="1"/>
    </ns0:row>
    <ns0:row r="33" spans="1:4" ht="25.95" customHeight="1">
      <ns0:c r="A33" s="1" t="s">
        <ns0:v>56</ns0:v>
      </ns0:c>
      <ns0:c r="B33" s="1"/>
      <ns0:c r="C33" s="1"/>
      <ns0:c r="D33" s="1"/>
    </ns0:row>
    <ns0:row r="34" spans="1:4" ht="25.95" customHeight="1">
      <ns0:c r="A34" s="1"/>
      <ns0:c r="B34" s="1"/>
      <ns0:c r="C34" s="1"/>
      <ns0:c r="D34" s="1"/>
    </ns0:row>
  </ns0:sheetData>
  <ns0:dataValidations count="1">
    <ns0:dataValidation type="decimal" operator="greaterThanOrEqual" sqref="B10:B29" ns2:uid="{00000000-0002-0000-0200-000000000000}">
      <ns0:formula1>0</ns0:formula1>
    </ns0:dataValidation>
  </ns0:dataValidations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 xmlns:ns1="http://schemas.openxmlformats.org/markup-compatibility/2006" xmlns:ns2="http://schemas.microsoft.com/office/spreadsheetml/2014/revision" ns1:Ignorable="x14ac xr xr2 xr3" ns2:uid="{00000000-0001-0000-0300-000000000000}">
  <ns0:dimension ref="A1:D34"/>
  <ns0:sheetViews>
    <ns0:sheetView showGridLines="0" topLeftCell="A4" workbookViewId="0">
      <ns0:selection activeCell="B22" sqref="B22"/>
    </ns0:sheetView>
  </ns0:sheetViews>
  <ns0:sheetFormatPr defaultRowHeight="13.8"/>
  <ns0:cols>
    <ns0:col min="1" max="1" width="43" customWidth="1"/>
    <ns0:col min="2" max="2" width="23" customWidth="1"/>
    <ns0:col min="3" max="3" width="5" customWidth="1"/>
    <ns0:col min="4" max="4" width="72" customWidth="1"/>
  </ns0:cols>
  <ns0:sheetData>
    <ns0:row r="1" spans="1:4" ht="25.95" customHeight="1">
      <ns0:c r="A1" s="1"/>
      <ns0:c r="B1" s="1"/>
      <ns0:c r="C1" s="1"/>
      <ns0:c r="D1" s="1"/>
    </ns0:row>
    <ns0:row r="2" spans="1:4" ht="25.95" customHeight="1">
      <ns0:c r="A2" s="2" t="s">
        <ns0:v>69</ns0:v>
      </ns0:c>
      <ns0:c r="B2" s="1"/>
      <ns0:c r="C2" s="1"/>
      <ns0:c r="D2" s="1"/>
    </ns0:row>
    <ns0:row r="3" spans="1:4" ht="25.95" customHeight="1">
      <ns0:c r="A3" s="1"/>
      <ns0:c r="B3" s="1"/>
      <ns0:c r="C3" s="1"/>
      <ns0:c r="D3" s="1"/>
    </ns0:row>
    <ns0:row r="4" spans="1:4" ht="25.95" customHeight="1">
      <ns0:c r="A4" s="1" t="s">
        <ns0:v>2</ns0:v>
      </ns0:c>
      <ns0:c r="B4" s="10" t="str">
        <ns0:f>IF(Summary!B5="","Enter on Summary",Summary!B5)</ns0:f>
        <ns0:v>Enter on Summary</ns0:v>
      </ns0:c>
      <ns0:c r="C4" s="1"/>
      <ns0:c r="D4" s="1"/>
    </ns0:row>
    <ns0:row r="5" spans="1:4" ht="25.95" customHeight="1">
      <ns0:c r="A5" s="1" t="s">
        <ns0:v>4</ns0:v>
      </ns0:c>
      <ns0:c r="B5" s="10" t="str">
        <ns0:f>Summary!B6</ns0:f>
        <ns0:v>IQD</ns0:v>
      </ns0:c>
      <ns0:c r="C5" s="1"/>
      <ns0:c r="D5" s="1"/>
    </ns0:row>
    <ns0:row r="6" spans="1:4" ht="25.95" customHeight="1">
      <ns0:c r="A6" s="1"/>
      <ns0:c r="B6" s="1"/>
      <ns0:c r="C6" s="1"/>
      <ns0:c r="D6" s="1"/>
    </ns0:row>
    <ns0:row r="7" spans="1:4" ht="25.95" customHeight="1">
      <ns0:c r="A7" s="1" t="s">
        <ns0:v>58</ns0:v>
      </ns0:c>
      <ns0:c r="B7" s="1"/>
      <ns0:c r="C7" s="1"/>
      <ns0:c r="D7" s="1"/>
    </ns0:row>
    <ns0:row r="8" spans="1:4" ht="25.95" customHeight="1">
      <ns0:c r="A8" s="1" t="s">
        <ns0:v>46</ns0:v>
      </ns0:c>
      <ns0:c r="B8" s="1"/>
      <ns0:c r="C8" s="1"/>
      <ns0:c r="D8" s="1"/>
    </ns0:row>
    <ns0:row r="9" spans="1:4" ht="30" customHeight="1">
      <ns0:c r="A9" s="4" t="s">
        <ns0:v>47</ns0:v>
      </ns0:c>
      <ns0:c r="B9" s="4" t="s">
        <ns0:v>48</ns0:v>
      </ns0:c>
      <ns0:c r="C9" s="1"/>
      <ns0:c r="D9" s="11" t="s">
        <ns0:v>49</ns0:v>
      </ns0:c>
    </ns0:row>
    <ns0:row r="10" spans="1:4" ht="25.95" customHeight="1">
      <ns0:c r="A10" s="3" t="s">
        <ns0:v>127</ns0:v>
      </ns0:c>
      <ns0:c r="B10" s="12">
        <ns0:v>360000</ns0:v>
      </ns0:c>
      <ns0:c r="C10" s="1"/>
      <ns0:c r="D10" s="3" t="s">
        <ns0:v>128</ns0:v>
      </ns0:c>
    </ns0:row>
    <ns0:row r="11" spans="1:4" ht="25.95" customHeight="1">
      <ns0:c r="A11" s="3" t="s">
        <ns0:v>129</ns0:v>
      </ns0:c>
      <ns0:c r="B11" s="12">
        <ns0:v>225000</ns0:v>
      </ns0:c>
      <ns0:c r="C11" s="1"/>
      <ns0:c r="D11" s="3" t="s">
        <ns0:v>130</ns0:v>
      </ns0:c>
    </ns0:row>
    <ns0:row r="12" spans="1:4" ht="25.95" customHeight="1">
      <ns0:c r="A12" s="3" t="s">
        <ns0:v>131</ns0:v>
      </ns0:c>
      <ns0:c r="B12" s="12">
        <ns0:v>135000</ns0:v>
      </ns0:c>
      <ns0:c r="C12" s="1"/>
      <ns0:c r="D12" s="3" t="s">
        <ns0:v>132</ns0:v>
      </ns0:c>
    </ns0:row>
    <ns0:row r="13" spans="1:4" ht="25.95" customHeight="1">
      <ns0:c r="A13" s="3" t="s">
        <ns0:v>133</ns0:v>
      </ns0:c>
      <ns0:c r="B13" s="12">
        <ns0:v>180000</ns0:v>
      </ns0:c>
      <ns0:c r="C13" s="1"/>
      <ns0:c r="D13" s="3" t="s">
        <ns0:v>134</ns0:v>
      </ns0:c>
    </ns0:row>
    <ns0:row r="14" spans="1:4" ht="25.95" customHeight="1">
      <ns0:c r="A14" s="3" t="s">
        <ns0:v>135</ns0:v>
      </ns0:c>
      <ns0:c r="B14" s="12">
        <ns0:v>105000</ns0:v>
      </ns0:c>
      <ns0:c r="C14" s="1"/>
      <ns0:c r="D14" s="3" t="s">
        <ns0:v>136</ns0:v>
      </ns0:c>
    </ns0:row>
    <ns0:row r="15" spans="1:4" ht="25.95" customHeight="1">
      <ns0:c r="A15" s="3" t="s">
        <ns0:v>137</ns0:v>
      </ns0:c>
      <ns0:c r="B15" s="12">
        <ns0:v>150000</ns0:v>
      </ns0:c>
      <ns0:c r="C15" s="1"/>
      <ns0:c r="D15" s="3" t="s">
        <ns0:v>138</ns0:v>
      </ns0:c>
    </ns0:row>
    <ns0:row r="16" spans="1:4" ht="25.95" customHeight="1">
      <ns0:c r="A16" s="3" t="s">
        <ns0:v>139</ns0:v>
      </ns0:c>
      <ns0:c r="B16" s="12">
        <ns0:v>15000</ns0:v>
      </ns0:c>
      <ns0:c r="C16" s="1"/>
      <ns0:c r="D16" s="3" t="s">
        <ns0:v>140</ns0:v>
      </ns0:c>
    </ns0:row>
    <ns0:row r="17" spans="1:4" ht="25.95" customHeight="1">
      <ns0:c r="A17" s="3" t="s">
        <ns0:v>141</ns0:v>
      </ns0:c>
      <ns0:c r="B17" s="12">
        <ns0:v>900000</ns0:v>
      </ns0:c>
      <ns0:c r="C17" s="1"/>
      <ns0:c r="D17" s="3" t="s">
        <ns0:v>142</ns0:v>
      </ns0:c>
    </ns0:row>
    <ns0:row r="18" spans="1:4" ht="25.95" customHeight="1">
      <ns0:c r="A18" s="3" t="s">
        <ns0:v>143</ns0:v>
      </ns0:c>
      <ns0:c r="B18" s="12">
        <ns0:v>0</ns0:v>
      </ns0:c>
      <ns0:c r="C18" s="1"/>
      <ns0:c r="D18" s="3" t="s">
        <ns0:v>144</ns0:v>
      </ns0:c>
    </ns0:row>
    <ns0:row r="19" spans="1:4" ht="25.95" customHeight="1">
      <ns0:c r="A19" s="3" t="s">
        <ns0:v>145</ns0:v>
      </ns0:c>
      <ns0:c r="B19" s="12">
        <ns0:v>0</ns0:v>
      </ns0:c>
      <ns0:c r="C19" s="1"/>
      <ns0:c r="D19" s="3" t="s">
        <ns0:v>146</ns0:v>
      </ns0:c>
    </ns0:row>
    <ns0:row r="20" spans="1:4" ht="25.95" customHeight="1">
      <ns0:c r="A20" s="3" t="s">
        <ns0:v>147</ns0:v>
      </ns0:c>
      <ns0:c r="B20" s="12">
        <ns0:v>375000</ns0:v>
      </ns0:c>
      <ns0:c r="C20" s="1"/>
      <ns0:c r="D20" s="3" t="s">
        <ns0:v>148</ns0:v>
      </ns0:c>
    </ns0:row>
    <ns0:row r="21" spans="1:4" ht="25.95" customHeight="1">
      <ns0:c r="A21" s="3" t="s">
        <ns0:v>149</ns0:v>
      </ns0:c>
      <ns0:c r="B21" s="12">
        <ns0:v>150000</ns0:v>
      </ns0:c>
      <ns0:c r="C21" s="1"/>
      <ns0:c r="D21" s="3" t="s">
        <ns0:v>150</ns0:v>
      </ns0:c>
    </ns0:row>
    <ns0:row r="22" spans="1:4" ht="25.95" customHeight="1">
      <ns0:c r="A22" s="3" t="s">
        <ns0:v>151</ns0:v>
      </ns0:c>
      <ns0:c r="B22" s="12">
        <ns0:v>0</ns0:v>
      </ns0:c>
      <ns0:c r="C22" s="1"/>
      <ns0:c r="D22" s="3" t="s">
        <ns0:v>152</ns0:v>
      </ns0:c>
    </ns0:row>
    <ns0:row r="23" spans="1:4" ht="25.95" customHeight="1">
      <ns0:c r="A23" s="3" t="s">
        <ns0:v>153</ns0:v>
      </ns0:c>
      <ns0:c r="B23" s="12">
        <ns0:v>0</ns0:v>
      </ns0:c>
      <ns0:c r="C23" s="1"/>
      <ns0:c r="D23" s="3" t="s">
        <ns0:v>154</ns0:v>
      </ns0:c>
    </ns0:row>
    <ns0:row r="24" spans="1:4" ht="25.95" customHeight="1">
      <ns0:c r="A24" s="3" t="s">
        <ns0:v>155</ns0:v>
      </ns0:c>
      <ns0:c r="B24" s="12">
        <ns0:v>105000</ns0:v>
      </ns0:c>
      <ns0:c r="C24" s="1"/>
      <ns0:c r="D24" s="3" t="s">
        <ns0:v>156</ns0:v>
      </ns0:c>
    </ns0:row>
    <ns0:row r="25" spans="1:4" ht="25.95" customHeight="1">
      <ns0:c r="A25" s="3" t="s">
        <ns0:v>157</ns0:v>
      </ns0:c>
      <ns0:c r="B25" s="12">
        <ns0:v>0</ns0:v>
      </ns0:c>
      <ns0:c r="C25" s="1"/>
      <ns0:c r="D25" s="3" t="s">
        <ns0:v>158</ns0:v>
      </ns0:c>
    </ns0:row>
    <ns0:row r="26" spans="1:4" ht="25.95" customHeight="1">
      <ns0:c r="A26" s="3" t="s">
        <ns0:v>159</ns0:v>
      </ns0:c>
      <ns0:c r="B26" s="12">
        <ns0:v/>
      </ns0:c>
      <ns0:c r="C26" s="1"/>
      <ns0:c r="D26" s="3" t="s">
        <ns0:v>159</ns0:v>
      </ns0:c>
    </ns0:row>
    <ns0:row r="27" spans="1:4" ht="25.95" customHeight="1">
      <ns0:c r="A27" s="3" t="s">
        <ns0:v>159</ns0:v>
      </ns0:c>
      <ns0:c r="B27" s="12">
        <ns0:v/>
      </ns0:c>
      <ns0:c r="C27" s="1"/>
      <ns0:c r="D27" s="3" t="s">
        <ns0:v>159</ns0:v>
      </ns0:c>
    </ns0:row>
    <ns0:row r="28" spans="1:4" ht="25.95" customHeight="1">
      <ns0:c r="A28" s="3" t="s">
        <ns0:v>159</ns0:v>
      </ns0:c>
      <ns0:c r="B28" s="12">
        <ns0:v/>
      </ns0:c>
      <ns0:c r="C28" s="1"/>
      <ns0:c r="D28" s="3" t="s">
        <ns0:v>159</ns0:v>
      </ns0:c>
    </ns0:row>
    <ns0:row r="29" spans="1:4" ht="25.95" customHeight="1">
      <ns0:c r="A29" s="3" t="s">
        <ns0:v>159</ns0:v>
      </ns0:c>
      <ns0:c r="B29" s="12">
        <ns0:v/>
      </ns0:c>
      <ns0:c r="C29" s="1"/>
      <ns0:c r="D29" s="3" t="s">
        <ns0:v>159</ns0:v>
      </ns0:c>
    </ns0:row>
    <ns0:row r="30" spans="1:4" ht="25.95" customHeight="1">
      <ns0:c r="A30" s="1"/>
      <ns0:c r="B30" s="5"/>
      <ns0:c r="C30" s="1"/>
      <ns0:c r="D30" s="1"/>
    </ns0:row>
    <ns0:row r="31" spans="1:4" ht="25.95" customHeight="1">
      <ns0:c r="A31" s="8" t="s">
        <ns0:v>95</ns0:v>
      </ns0:c>
      <ns0:c r="B31" s="9">
        <ns0:f>SUM(B10:B29)</ns0:f>
        <ns0:v>2700000</ns0:v>
      </ns0:c>
      <ns0:c r="C31" s="1"/>
      <ns0:c r="D31" s="1"/>
    </ns0:row>
    <ns0:row r="32" spans="1:4" ht="25.95" customHeight="1">
      <ns0:c r="A32" s="1"/>
      <ns0:c r="B32" s="1"/>
      <ns0:c r="C32" s="1"/>
      <ns0:c r="D32" s="1"/>
    </ns0:row>
    <ns0:row r="33" spans="1:4" ht="25.95" customHeight="1">
      <ns0:c r="A33" s="1" t="s">
        <ns0:v>56</ns0:v>
      </ns0:c>
      <ns0:c r="B33" s="1"/>
      <ns0:c r="C33" s="1"/>
      <ns0:c r="D33" s="1"/>
    </ns0:row>
    <ns0:row r="34" spans="1:4" ht="25.95" customHeight="1">
      <ns0:c r="A34" s="1" t="s">
        <ns0:v>96</ns0:v>
      </ns0:c>
      <ns0:c r="B34" s="1"/>
      <ns0:c r="C34" s="1"/>
      <ns0:c r="D34" s="1"/>
    </ns0:row>
  </ns0:sheetData>
  <ns0:dataValidations count="1">
    <ns0:dataValidation type="decimal" operator="greaterThanOrEqual" sqref="B10:B29" ns2:uid="{00000000-0002-0000-0300-000000000000}">
      <ns0:formula1>0</ns0:formula1>
    </ns0:dataValidation>
  </ns0:dataValidations>
  <ns0:pageMargins left="0.7" right="0.7" top="0.75" bottom="0.75" header="0.3" footer="0.3"/>
</ns0:worksheet>
</file>

<file path=xl/worksheets/sheet5.xml><?xml version="1.0" encoding="utf-8"?>
<ns0:worksheet xmlns:ns0="http://schemas.openxmlformats.org/spreadsheetml/2006/main" xmlns:ns1="http://schemas.openxmlformats.org/markup-compatibility/2006" xmlns:ns2="http://schemas.microsoft.com/office/spreadsheetml/2014/revision" ns1:Ignorable="x14ac xr xr2 xr3" ns2:uid="{00000000-0001-0000-0400-000000000000}">
  <ns0:dimension ref="A1:E32"/>
  <ns0:sheetViews>
    <ns0:sheetView showGridLines="0" topLeftCell="A7" workbookViewId="0">
      <ns0:selection activeCell="C12" sqref="C12"/>
    </ns0:sheetView>
  </ns0:sheetViews>
  <ns0:sheetFormatPr defaultRowHeight="13.8"/>
  <ns0:cols>
    <ns0:col min="1" max="1" width="32" customWidth="1"/>
    <ns0:col min="2" max="2" width="15" customWidth="1"/>
    <ns0:col min="3" max="3" width="22" customWidth="1"/>
    <ns0:col min="4" max="4" width="24" customWidth="1"/>
    <ns0:col min="5" max="5" width="70" customWidth="1"/>
  </ns0:cols>
  <ns0:sheetData>
    <ns0:row r="1" spans="1:5" ht="27" customHeight="1">
      <ns0:c r="A1" s="1"/>
      <ns0:c r="B1" s="1"/>
      <ns0:c r="C1" s="1"/>
      <ns0:c r="D1" s="1"/>
      <ns0:c r="E1" s="1"/>
    </ns0:row>
    <ns0:row r="2" spans="1:5" ht="27" customHeight="1">
      <ns0:c r="A2" s="2" t="s">
        <ns0:v>34</ns0:v>
      </ns0:c>
      <ns0:c r="B2" s="1"/>
      <ns0:c r="C2" s="1"/>
      <ns0:c r="D2" s="1"/>
      <ns0:c r="E2" s="1"/>
    </ns0:row>
    <ns0:row r="3" spans="1:5" ht="27" customHeight="1">
      <ns0:c r="A3" s="1"/>
      <ns0:c r="B3" s="1"/>
      <ns0:c r="C3" s="1"/>
      <ns0:c r="D3" s="1"/>
      <ns0:c r="E3" s="1"/>
    </ns0:row>
    <ns0:row r="4" spans="1:5" ht="27" customHeight="1">
      <ns0:c r="A4" s="1" t="s">
        <ns0:v>2</ns0:v>
      </ns0:c>
      <ns0:c r="B4" s="10" t="str">
        <ns0:f>IF(Summary!B5="","Enter on Summary",Summary!B5)</ns0:f>
        <ns0:v>Enter on Summary</ns0:v>
      </ns0:c>
      <ns0:c r="C4" s="1"/>
      <ns0:c r="D4" s="1"/>
      <ns0:c r="E4" s="1"/>
    </ns0:row>
    <ns0:row r="5" spans="1:5" ht="27" customHeight="1">
      <ns0:c r="A5" s="1" t="s">
        <ns0:v>4</ns0:v>
      </ns0:c>
      <ns0:c r="B5" s="10" t="str">
        <ns0:f>Summary!B6</ns0:f>
        <ns0:v>IQD</ns0:v>
      </ns0:c>
      <ns0:c r="C5" s="1"/>
      <ns0:c r="D5" s="1"/>
      <ns0:c r="E5" s="1"/>
    </ns0:row>
    <ns0:row r="6" spans="1:5" ht="27" customHeight="1">
      <ns0:c r="A6" s="1"/>
      <ns0:c r="B6" s="1"/>
      <ns0:c r="C6" s="1"/>
      <ns0:c r="D6" s="1"/>
      <ns0:c r="E6" s="1"/>
    </ns0:row>
    <ns0:row r="7" spans="1:5" ht="27" customHeight="1">
      <ns0:c r="A7" s="1" t="s">
        <ns0:v>97</ns0:v>
      </ns0:c>
      <ns0:c r="B7" s="1"/>
      <ns0:c r="C7" s="1"/>
      <ns0:c r="D7" s="1"/>
      <ns0:c r="E7" s="1"/>
    </ns0:row>
    <ns0:row r="8" spans="1:5" ht="27" customHeight="1">
      <ns0:c r="A8" s="1" t="s">
        <ns0:v>98</ns0:v>
      </ns0:c>
      <ns0:c r="B8" s="1"/>
      <ns0:c r="C8" s="1"/>
      <ns0:c r="D8" s="1"/>
      <ns0:c r="E8" s="1"/>
    </ns0:row>
    <ns0:row r="9" spans="1:5" ht="27" customHeight="1">
      <ns0:c r="A9" s="1"/>
      <ns0:c r="B9" s="1"/>
      <ns0:c r="C9" s="1"/>
      <ns0:c r="D9" s="1"/>
      <ns0:c r="E9" s="1"/>
    </ns0:row>
    <ns0:row r="10" spans="1:5" ht="36" customHeight="1">
      <ns0:c r="A10" s="14" t="s">
        <ns0:v>99</ns0:v>
      </ns0:c>
      <ns0:c r="B10" s="14" t="s">
        <ns0:v>100</ns0:v>
      </ns0:c>
      <ns0:c r="C10" s="14" t="s">
        <ns0:v>101</ns0:v>
      </ns0:c>
      <ns0:c r="D10" s="14" t="s">
        <ns0:v>102</ns0:v>
      </ns0:c>
      <ns0:c r="E10" s="14" t="s">
        <ns0:v>103</ns0:v>
      </ns0:c>
    </ns0:row>
    <ns0:row r="11" spans="1:5" ht="27" customHeight="1">
      <ns0:c r="A11" s="15" t="s">
        <ns0:v>109</ns0:v>
      </ns0:c>
      <ns0:c r="B11" s="17">
        <ns0:v>2</ns0:v>
      </ns0:c>
      <ns0:c r="C11" s="16">
        <ns0:f>1000*1500</ns0:f>
        <ns0:v>1500000</ns0:v>
      </ns0:c>
      <ns0:c r="D11" s="5">
        <ns0:f t="shared" ref="D11:D25" si="0">IF(COUNTA(A11:C11,E11)=0,"",IF(OR(A11="",B11="",C11="",E11=""),"Complete row",B11*C11))</ns0:f>
        <ns0:v>3000000</ns0:v>
      </ns0:c>
      <ns0:c r="E11" s="15" t="s">
        <ns0:v>110</ns0:v>
      </ns0:c>
    </ns0:row>
    <ns0:row r="12" spans="1:5" ht="27" customHeight="1">
      <ns0:c r="A12" s="15"/>
      <ns0:c r="B12" s="17"/>
      <ns0:c r="C12" s="16"/>
      <ns0:c r="D12" s="5" t="str">
        <ns0:f t="shared" si="0"/>
        <ns0:v/>
      </ns0:c>
      <ns0:c r="E12" s="15"/>
    </ns0:row>
    <ns0:row r="13" spans="1:5" ht="27" customHeight="1">
      <ns0:c r="A13" s="15"/>
      <ns0:c r="B13" s="17"/>
      <ns0:c r="C13" s="16"/>
      <ns0:c r="D13" s="5" t="str">
        <ns0:f t="shared" si="0"/>
        <ns0:v/>
      </ns0:c>
      <ns0:c r="E13" s="15"/>
    </ns0:row>
    <ns0:row r="14" spans="1:5" ht="27" customHeight="1">
      <ns0:c r="A14" s="15"/>
      <ns0:c r="B14" s="17"/>
      <ns0:c r="C14" s="16"/>
      <ns0:c r="D14" s="5" t="str">
        <ns0:f t="shared" si="0"/>
        <ns0:v/>
      </ns0:c>
      <ns0:c r="E14" s="15"/>
    </ns0:row>
    <ns0:row r="15" spans="1:5" ht="27" customHeight="1">
      <ns0:c r="A15" s="15"/>
      <ns0:c r="B15" s="17"/>
      <ns0:c r="C15" s="16"/>
      <ns0:c r="D15" s="5" t="str">
        <ns0:f t="shared" si="0"/>
        <ns0:v/>
      </ns0:c>
      <ns0:c r="E15" s="15"/>
    </ns0:row>
    <ns0:row r="16" spans="1:5" ht="27" customHeight="1">
      <ns0:c r="A16" s="15"/>
      <ns0:c r="B16" s="17"/>
      <ns0:c r="C16" s="16"/>
      <ns0:c r="D16" s="5" t="str">
        <ns0:f t="shared" si="0"/>
        <ns0:v/>
      </ns0:c>
      <ns0:c r="E16" s="15"/>
    </ns0:row>
    <ns0:row r="17" spans="1:5" ht="27" customHeight="1">
      <ns0:c r="A17" s="15"/>
      <ns0:c r="B17" s="17"/>
      <ns0:c r="C17" s="16"/>
      <ns0:c r="D17" s="5" t="str">
        <ns0:f t="shared" si="0"/>
        <ns0:v/>
      </ns0:c>
      <ns0:c r="E17" s="15"/>
    </ns0:row>
    <ns0:row r="18" spans="1:5" ht="27" customHeight="1">
      <ns0:c r="A18" s="15"/>
      <ns0:c r="B18" s="17"/>
      <ns0:c r="C18" s="16"/>
      <ns0:c r="D18" s="5" t="str">
        <ns0:f t="shared" si="0"/>
        <ns0:v/>
      </ns0:c>
      <ns0:c r="E18" s="15"/>
    </ns0:row>
    <ns0:row r="19" spans="1:5" ht="27" customHeight="1">
      <ns0:c r="A19" s="15"/>
      <ns0:c r="B19" s="17"/>
      <ns0:c r="C19" s="16"/>
      <ns0:c r="D19" s="5" t="str">
        <ns0:f t="shared" si="0"/>
        <ns0:v/>
      </ns0:c>
      <ns0:c r="E19" s="15"/>
    </ns0:row>
    <ns0:row r="20" spans="1:5" ht="27" customHeight="1">
      <ns0:c r="A20" s="15"/>
      <ns0:c r="B20" s="17"/>
      <ns0:c r="C20" s="16"/>
      <ns0:c r="D20" s="5" t="str">
        <ns0:f t="shared" si="0"/>
        <ns0:v/>
      </ns0:c>
      <ns0:c r="E20" s="15"/>
    </ns0:row>
    <ns0:row r="21" spans="1:5" ht="27" customHeight="1">
      <ns0:c r="A21" s="15"/>
      <ns0:c r="B21" s="17"/>
      <ns0:c r="C21" s="16"/>
      <ns0:c r="D21" s="5" t="str">
        <ns0:f t="shared" si="0"/>
        <ns0:v/>
      </ns0:c>
      <ns0:c r="E21" s="15"/>
    </ns0:row>
    <ns0:row r="22" spans="1:5" ht="27" customHeight="1">
      <ns0:c r="A22" s="15"/>
      <ns0:c r="B22" s="17"/>
      <ns0:c r="C22" s="16"/>
      <ns0:c r="D22" s="5" t="str">
        <ns0:f t="shared" si="0"/>
        <ns0:v/>
      </ns0:c>
      <ns0:c r="E22" s="15"/>
    </ns0:row>
    <ns0:row r="23" spans="1:5" ht="27" customHeight="1">
      <ns0:c r="A23" s="15"/>
      <ns0:c r="B23" s="17"/>
      <ns0:c r="C23" s="16"/>
      <ns0:c r="D23" s="5" t="str">
        <ns0:f t="shared" si="0"/>
        <ns0:v/>
      </ns0:c>
      <ns0:c r="E23" s="15"/>
    </ns0:row>
    <ns0:row r="24" spans="1:5" ht="27" customHeight="1">
      <ns0:c r="A24" s="15"/>
      <ns0:c r="B24" s="17"/>
      <ns0:c r="C24" s="16"/>
      <ns0:c r="D24" s="5" t="str">
        <ns0:f t="shared" si="0"/>
        <ns0:v/>
      </ns0:c>
      <ns0:c r="E24" s="15"/>
    </ns0:row>
    <ns0:row r="25" spans="1:5" ht="27" customHeight="1">
      <ns0:c r="A25" s="15"/>
      <ns0:c r="B25" s="17"/>
      <ns0:c r="C25" s="16"/>
      <ns0:c r="D25" s="5" t="str">
        <ns0:f t="shared" si="0"/>
        <ns0:v/>
      </ns0:c>
      <ns0:c r="E25" s="15"/>
    </ns0:row>
    <ns0:row r="26" spans="1:5" ht="27" customHeight="1">
      <ns0:c r="A26" s="1"/>
      <ns0:c r="B26" s="1"/>
      <ns0:c r="C26" s="5"/>
      <ns0:c r="D26" s="5"/>
      <ns0:c r="E26" s="1"/>
    </ns0:row>
    <ns0:row r="27" spans="1:5" ht="27" customHeight="1">
      <ns0:c r="A27" s="18" t="s">
        <ns0:v>104</ns0:v>
      </ns0:c>
      <ns0:c r="B27" s="18"/>
      <ns0:c r="C27" s="19"/>
      <ns0:c r="D27" s="19">
        <ns0:f>IF(COUNTIFS(D11:D25,"Complete row")&gt;0,"Complete asset rows",SUM(D11:D25))</ns0:f>
        <ns0:v>0</ns0:v>
      </ns0:c>
      <ns0:c r="E27" s="18"/>
    </ns0:row>
    <ns0:row r="28" spans="1:5" ht="27" customHeight="1">
      <ns0:c r="A28" s="1"/>
      <ns0:c r="B28" s="1"/>
      <ns0:c r="C28" s="1"/>
      <ns0:c r="D28" s="1"/>
      <ns0:c r="E28" s="1"/>
    </ns0:row>
    <ns0:row r="29" spans="1:5" ht="27" customHeight="1">
      <ns0:c r="A29" s="1" t="s">
        <ns0:v>105</ns0:v>
      </ns0:c>
      <ns0:c r="B29" s="1"/>
      <ns0:c r="C29" s="1"/>
      <ns0:c r="D29" s="1"/>
      <ns0:c r="E29" s="1"/>
    </ns0:row>
    <ns0:row r="30" spans="1:5" ht="27" customHeight="1">
      <ns0:c r="A30" s="1" t="s">
        <ns0:v>106</ns0:v>
      </ns0:c>
      <ns0:c r="B30" s="1"/>
      <ns0:c r="C30" s="1"/>
      <ns0:c r="D30" s="1"/>
      <ns0:c r="E30" s="1"/>
    </ns0:row>
    <ns0:row r="31" spans="1:5" ht="27" customHeight="1">
      <ns0:c r="A31" s="1" t="s">
        <ns0:v>107</ns0:v>
      </ns0:c>
      <ns0:c r="B31" s="1"/>
      <ns0:c r="C31" s="1"/>
      <ns0:c r="D31" s="1"/>
      <ns0:c r="E31" s="1"/>
    </ns0:row>
    <ns0:row r="32" spans="1:5" ht="27" customHeight="1">
      <ns0:c r="A32" s="1" t="s">
        <ns0:v>108</ns0:v>
      </ns0:c>
      <ns0:c r="B32" s="1"/>
      <ns0:c r="C32" s="1"/>
      <ns0:c r="D32" s="1"/>
      <ns0:c r="E32" s="1"/>
    </ns0:row>
  </ns0:sheetData>
  <ns0:dataValidations count="2">
    <ns0:dataValidation type="whole" operator="greaterThan" sqref="B11:B25" ns2:uid="{00000000-0002-0000-0400-000000000000}">
      <ns0:formula1>0</ns0:formula1>
    </ns0:dataValidation>
    <ns0:dataValidation type="decimal" operator="greaterThanOrEqual" sqref="C11:C25" ns2:uid="{00000000-0002-0000-0400-000001000000}">
      <ns0:formula1>0</ns0:formula1>
    </ns0:dataValidation>
  </ns0:dataValidations>
  <ns0:pageMargins left="0.7" right="0.7" top="0.75" bottom="0.75" header="0.3" footer="0.3"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Revenue</vt:lpstr>
      <vt:lpstr>Direct Costs</vt:lpstr>
      <vt:lpstr>Indirect Expenses</vt:lpstr>
      <vt:lpstr>Asset Purchases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Lord Technology</dc:creator>
  <cp:lastModifiedBy>Lord Technology</cp:lastModifiedBy>
  <dcterms:created xsi:type="dcterms:W3CDTF">2026-10-05T20:59:53Z</dcterms:created>
  <dcterms:modified xsi:type="dcterms:W3CDTF">2026-10-06T14:03:42Z</dcterms:modified>
</cp:coreProperties>
</file>